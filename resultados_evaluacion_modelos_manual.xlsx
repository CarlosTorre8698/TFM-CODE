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Escritorio\Clase\TFM\TFM Code\"/>
    </mc:Choice>
  </mc:AlternateContent>
  <xr:revisionPtr revIDLastSave="0" documentId="13_ncr:1_{97517FCA-3DA6-4C1E-AB6D-111BD6E03AD4}" xr6:coauthVersionLast="47" xr6:coauthVersionMax="47" xr10:uidLastSave="{00000000-0000-0000-0000-000000000000}"/>
  <bookViews>
    <workbookView xWindow="-108" yWindow="-108" windowWidth="23256" windowHeight="12456" xr2:uid="{7C07E021-9B18-4A5C-BAA0-B5D989261BC0}"/>
  </bookViews>
  <sheets>
    <sheet name="resultados_evaluacion_modelos" sheetId="1" r:id="rId1"/>
    <sheet name="Análisis" sheetId="2" r:id="rId2"/>
    <sheet name="Tablas_TFM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N3" i="1"/>
  <c r="O3" i="1"/>
  <c r="P3" i="1" s="1"/>
  <c r="L4" i="1"/>
  <c r="M4" i="1"/>
  <c r="N4" i="1"/>
  <c r="O4" i="1"/>
  <c r="P4" i="1" s="1"/>
  <c r="L5" i="1"/>
  <c r="M5" i="1"/>
  <c r="N5" i="1"/>
  <c r="O5" i="1"/>
  <c r="P5" i="1" s="1"/>
  <c r="L6" i="1"/>
  <c r="M6" i="1"/>
  <c r="N6" i="1"/>
  <c r="O6" i="1"/>
  <c r="P6" i="1" s="1"/>
  <c r="L7" i="1"/>
  <c r="M7" i="1"/>
  <c r="N7" i="1"/>
  <c r="O7" i="1"/>
  <c r="P7" i="1" s="1"/>
  <c r="L8" i="1"/>
  <c r="M8" i="1"/>
  <c r="N8" i="1"/>
  <c r="O8" i="1"/>
  <c r="P8" i="1" s="1"/>
  <c r="L9" i="1"/>
  <c r="M9" i="1"/>
  <c r="N9" i="1"/>
  <c r="O9" i="1"/>
  <c r="P9" i="1" s="1"/>
  <c r="L10" i="1"/>
  <c r="M10" i="1"/>
  <c r="N10" i="1"/>
  <c r="O10" i="1"/>
  <c r="P10" i="1" s="1"/>
  <c r="L11" i="1"/>
  <c r="M11" i="1"/>
  <c r="N11" i="1"/>
  <c r="O11" i="1"/>
  <c r="P11" i="1" s="1"/>
  <c r="L12" i="1"/>
  <c r="M12" i="1"/>
  <c r="N12" i="1"/>
  <c r="O12" i="1"/>
  <c r="P12" i="1" s="1"/>
  <c r="L13" i="1"/>
  <c r="M13" i="1"/>
  <c r="N13" i="1"/>
  <c r="O13" i="1"/>
  <c r="P13" i="1" s="1"/>
  <c r="L14" i="1"/>
  <c r="M14" i="1"/>
  <c r="N14" i="1"/>
  <c r="O14" i="1"/>
  <c r="P14" i="1" s="1"/>
  <c r="L15" i="1"/>
  <c r="M15" i="1"/>
  <c r="N15" i="1"/>
  <c r="O15" i="1"/>
  <c r="P15" i="1" s="1"/>
  <c r="L16" i="1"/>
  <c r="M16" i="1"/>
  <c r="N16" i="1"/>
  <c r="O16" i="1"/>
  <c r="P16" i="1" s="1"/>
  <c r="L17" i="1"/>
  <c r="M17" i="1"/>
  <c r="N17" i="1"/>
  <c r="O17" i="1"/>
  <c r="P17" i="1" s="1"/>
  <c r="L18" i="1"/>
  <c r="M18" i="1"/>
  <c r="N18" i="1"/>
  <c r="O18" i="1"/>
  <c r="P18" i="1" s="1"/>
  <c r="L19" i="1"/>
  <c r="M19" i="1"/>
  <c r="N19" i="1"/>
  <c r="O19" i="1"/>
  <c r="P19" i="1" s="1"/>
  <c r="L20" i="1"/>
  <c r="M20" i="1"/>
  <c r="N20" i="1"/>
  <c r="O20" i="1"/>
  <c r="P20" i="1" s="1"/>
  <c r="L21" i="1"/>
  <c r="M21" i="1"/>
  <c r="N21" i="1"/>
  <c r="O21" i="1"/>
  <c r="P21" i="1" s="1"/>
  <c r="L22" i="1"/>
  <c r="M22" i="1"/>
  <c r="N22" i="1"/>
  <c r="O22" i="1"/>
  <c r="P22" i="1" s="1"/>
  <c r="L23" i="1"/>
  <c r="M23" i="1"/>
  <c r="N23" i="1"/>
  <c r="O23" i="1"/>
  <c r="P23" i="1" s="1"/>
  <c r="L24" i="1"/>
  <c r="M24" i="1"/>
  <c r="N24" i="1"/>
  <c r="O24" i="1"/>
  <c r="P24" i="1" s="1"/>
  <c r="L25" i="1"/>
  <c r="M25" i="1"/>
  <c r="N25" i="1"/>
  <c r="O25" i="1"/>
  <c r="P25" i="1" s="1"/>
  <c r="L26" i="1"/>
  <c r="M26" i="1"/>
  <c r="N26" i="1"/>
  <c r="O26" i="1"/>
  <c r="P26" i="1" s="1"/>
  <c r="L27" i="1"/>
  <c r="M27" i="1"/>
  <c r="N27" i="1"/>
  <c r="O27" i="1"/>
  <c r="P27" i="1" s="1"/>
  <c r="L28" i="1"/>
  <c r="M28" i="1"/>
  <c r="N28" i="1"/>
  <c r="O28" i="1"/>
  <c r="P28" i="1" s="1"/>
  <c r="L29" i="1"/>
  <c r="M29" i="1"/>
  <c r="N29" i="1"/>
  <c r="O29" i="1"/>
  <c r="P29" i="1" s="1"/>
  <c r="L30" i="1"/>
  <c r="M30" i="1"/>
  <c r="N30" i="1"/>
  <c r="O30" i="1"/>
  <c r="P30" i="1" s="1"/>
  <c r="L31" i="1"/>
  <c r="M31" i="1"/>
  <c r="N31" i="1"/>
  <c r="O31" i="1"/>
  <c r="P31" i="1" s="1"/>
  <c r="L32" i="1"/>
  <c r="M32" i="1"/>
  <c r="N32" i="1"/>
  <c r="O32" i="1"/>
  <c r="P32" i="1" s="1"/>
  <c r="L33" i="1"/>
  <c r="M33" i="1"/>
  <c r="N33" i="1"/>
  <c r="O33" i="1"/>
  <c r="P33" i="1" s="1"/>
  <c r="L34" i="1"/>
  <c r="M34" i="1"/>
  <c r="N34" i="1"/>
  <c r="O34" i="1"/>
  <c r="P34" i="1" s="1"/>
  <c r="L35" i="1"/>
  <c r="M35" i="1"/>
  <c r="N35" i="1"/>
  <c r="Q35" i="1" s="1"/>
  <c r="O35" i="1"/>
  <c r="P35" i="1" s="1"/>
  <c r="L36" i="1"/>
  <c r="M36" i="1"/>
  <c r="N36" i="1"/>
  <c r="O36" i="1"/>
  <c r="P36" i="1" s="1"/>
  <c r="L37" i="1"/>
  <c r="M37" i="1"/>
  <c r="N37" i="1"/>
  <c r="O37" i="1"/>
  <c r="P37" i="1"/>
  <c r="L38" i="1"/>
  <c r="M38" i="1"/>
  <c r="N38" i="1"/>
  <c r="O38" i="1"/>
  <c r="P38" i="1" s="1"/>
  <c r="L39" i="1"/>
  <c r="M39" i="1"/>
  <c r="N39" i="1"/>
  <c r="O39" i="1"/>
  <c r="P39" i="1" s="1"/>
  <c r="L40" i="1"/>
  <c r="M40" i="1"/>
  <c r="N40" i="1"/>
  <c r="O40" i="1"/>
  <c r="P40" i="1"/>
  <c r="L41" i="1"/>
  <c r="M41" i="1"/>
  <c r="N41" i="1"/>
  <c r="O41" i="1"/>
  <c r="P41" i="1" s="1"/>
  <c r="L42" i="1"/>
  <c r="M42" i="1"/>
  <c r="N42" i="1"/>
  <c r="O42" i="1"/>
  <c r="P42" i="1" s="1"/>
  <c r="L43" i="1"/>
  <c r="M43" i="1"/>
  <c r="N43" i="1"/>
  <c r="O43" i="1"/>
  <c r="P43" i="1"/>
  <c r="L44" i="1"/>
  <c r="M44" i="1"/>
  <c r="N44" i="1"/>
  <c r="O44" i="1"/>
  <c r="P44" i="1" s="1"/>
  <c r="L45" i="1"/>
  <c r="M45" i="1"/>
  <c r="N45" i="1"/>
  <c r="O45" i="1"/>
  <c r="P45" i="1" s="1"/>
  <c r="L46" i="1"/>
  <c r="M46" i="1"/>
  <c r="N46" i="1"/>
  <c r="O46" i="1"/>
  <c r="P46" i="1" s="1"/>
  <c r="L47" i="1"/>
  <c r="M47" i="1"/>
  <c r="N47" i="1"/>
  <c r="O47" i="1"/>
  <c r="P47" i="1" s="1"/>
  <c r="L48" i="1"/>
  <c r="M48" i="1"/>
  <c r="N48" i="1"/>
  <c r="O48" i="1"/>
  <c r="P48" i="1" s="1"/>
  <c r="L49" i="1"/>
  <c r="M49" i="1"/>
  <c r="N49" i="1"/>
  <c r="O49" i="1"/>
  <c r="P49" i="1" s="1"/>
  <c r="L50" i="1"/>
  <c r="M50" i="1"/>
  <c r="N50" i="1"/>
  <c r="O50" i="1"/>
  <c r="P50" i="1" s="1"/>
  <c r="L51" i="1"/>
  <c r="M51" i="1"/>
  <c r="N51" i="1"/>
  <c r="O51" i="1"/>
  <c r="P51" i="1" s="1"/>
  <c r="L52" i="1"/>
  <c r="M52" i="1"/>
  <c r="N52" i="1"/>
  <c r="O52" i="1"/>
  <c r="P52" i="1" s="1"/>
  <c r="Q52" i="1" s="1"/>
  <c r="L53" i="1"/>
  <c r="M53" i="1"/>
  <c r="N53" i="1"/>
  <c r="O53" i="1"/>
  <c r="P53" i="1" s="1"/>
  <c r="L54" i="1"/>
  <c r="M54" i="1"/>
  <c r="N54" i="1"/>
  <c r="O54" i="1"/>
  <c r="P54" i="1" s="1"/>
  <c r="L55" i="1"/>
  <c r="M55" i="1"/>
  <c r="N55" i="1"/>
  <c r="O55" i="1"/>
  <c r="P55" i="1" s="1"/>
  <c r="L56" i="1"/>
  <c r="M56" i="1"/>
  <c r="N56" i="1"/>
  <c r="O56" i="1"/>
  <c r="P56" i="1" s="1"/>
  <c r="L57" i="1"/>
  <c r="M57" i="1"/>
  <c r="N57" i="1"/>
  <c r="O57" i="1"/>
  <c r="P57" i="1" s="1"/>
  <c r="L58" i="1"/>
  <c r="M58" i="1"/>
  <c r="N58" i="1"/>
  <c r="O58" i="1"/>
  <c r="P58" i="1" s="1"/>
  <c r="L59" i="1"/>
  <c r="M59" i="1"/>
  <c r="N59" i="1"/>
  <c r="O59" i="1"/>
  <c r="P59" i="1" s="1"/>
  <c r="L60" i="1"/>
  <c r="M60" i="1"/>
  <c r="N60" i="1"/>
  <c r="O60" i="1"/>
  <c r="P60" i="1" s="1"/>
  <c r="L61" i="1"/>
  <c r="M61" i="1"/>
  <c r="N61" i="1"/>
  <c r="O61" i="1"/>
  <c r="P61" i="1" s="1"/>
  <c r="L62" i="1"/>
  <c r="M62" i="1"/>
  <c r="N62" i="1"/>
  <c r="O62" i="1"/>
  <c r="P62" i="1" s="1"/>
  <c r="L63" i="1"/>
  <c r="M63" i="1"/>
  <c r="N63" i="1"/>
  <c r="O63" i="1"/>
  <c r="P63" i="1" s="1"/>
  <c r="L64" i="1"/>
  <c r="M64" i="1"/>
  <c r="N64" i="1"/>
  <c r="O64" i="1"/>
  <c r="P64" i="1" s="1"/>
  <c r="L65" i="1"/>
  <c r="M65" i="1"/>
  <c r="N65" i="1"/>
  <c r="O65" i="1"/>
  <c r="P65" i="1"/>
  <c r="L66" i="1"/>
  <c r="M66" i="1"/>
  <c r="N66" i="1"/>
  <c r="O66" i="1"/>
  <c r="P66" i="1" s="1"/>
  <c r="L67" i="1"/>
  <c r="M67" i="1"/>
  <c r="N67" i="1"/>
  <c r="O67" i="1"/>
  <c r="P67" i="1" s="1"/>
  <c r="L68" i="1"/>
  <c r="M68" i="1"/>
  <c r="N68" i="1"/>
  <c r="O68" i="1"/>
  <c r="P68" i="1" s="1"/>
  <c r="L69" i="1"/>
  <c r="M69" i="1"/>
  <c r="N69" i="1"/>
  <c r="O69" i="1"/>
  <c r="P69" i="1" s="1"/>
  <c r="L70" i="1"/>
  <c r="M70" i="1"/>
  <c r="N70" i="1"/>
  <c r="O70" i="1"/>
  <c r="P70" i="1" s="1"/>
  <c r="L71" i="1"/>
  <c r="M71" i="1"/>
  <c r="N71" i="1"/>
  <c r="O71" i="1"/>
  <c r="P71" i="1" s="1"/>
  <c r="L72" i="1"/>
  <c r="M72" i="1"/>
  <c r="N72" i="1"/>
  <c r="O72" i="1"/>
  <c r="P72" i="1" s="1"/>
  <c r="L73" i="1"/>
  <c r="M73" i="1"/>
  <c r="N73" i="1"/>
  <c r="O73" i="1"/>
  <c r="P73" i="1"/>
  <c r="L74" i="1"/>
  <c r="M74" i="1"/>
  <c r="N74" i="1"/>
  <c r="O74" i="1"/>
  <c r="P74" i="1" s="1"/>
  <c r="L75" i="1"/>
  <c r="M75" i="1"/>
  <c r="N75" i="1"/>
  <c r="O75" i="1"/>
  <c r="P75" i="1" s="1"/>
  <c r="L76" i="1"/>
  <c r="M76" i="1"/>
  <c r="N76" i="1"/>
  <c r="O76" i="1"/>
  <c r="P76" i="1"/>
  <c r="L77" i="1"/>
  <c r="M77" i="1"/>
  <c r="N77" i="1"/>
  <c r="O77" i="1"/>
  <c r="P77" i="1" s="1"/>
  <c r="L78" i="1"/>
  <c r="M78" i="1"/>
  <c r="N78" i="1"/>
  <c r="O78" i="1"/>
  <c r="P78" i="1" s="1"/>
  <c r="L79" i="1"/>
  <c r="M79" i="1"/>
  <c r="N79" i="1"/>
  <c r="O79" i="1"/>
  <c r="P79" i="1" s="1"/>
  <c r="L80" i="1"/>
  <c r="M80" i="1"/>
  <c r="N80" i="1"/>
  <c r="O80" i="1"/>
  <c r="P80" i="1"/>
  <c r="L81" i="1"/>
  <c r="M81" i="1"/>
  <c r="N81" i="1"/>
  <c r="O81" i="1"/>
  <c r="P81" i="1" s="1"/>
  <c r="L82" i="1"/>
  <c r="M82" i="1"/>
  <c r="N82" i="1"/>
  <c r="O82" i="1"/>
  <c r="P82" i="1" s="1"/>
  <c r="L83" i="1"/>
  <c r="M83" i="1"/>
  <c r="N83" i="1"/>
  <c r="O83" i="1"/>
  <c r="P83" i="1" s="1"/>
  <c r="L84" i="1"/>
  <c r="M84" i="1"/>
  <c r="N84" i="1"/>
  <c r="O84" i="1"/>
  <c r="P84" i="1" s="1"/>
  <c r="L85" i="1"/>
  <c r="M85" i="1"/>
  <c r="N85" i="1"/>
  <c r="O85" i="1"/>
  <c r="P85" i="1" s="1"/>
  <c r="L86" i="1"/>
  <c r="M86" i="1"/>
  <c r="N86" i="1"/>
  <c r="O86" i="1"/>
  <c r="P86" i="1" s="1"/>
  <c r="L87" i="1"/>
  <c r="M87" i="1"/>
  <c r="N87" i="1"/>
  <c r="O87" i="1"/>
  <c r="P87" i="1" s="1"/>
  <c r="L88" i="1"/>
  <c r="M88" i="1"/>
  <c r="N88" i="1"/>
  <c r="O88" i="1"/>
  <c r="P88" i="1" s="1"/>
  <c r="L89" i="1"/>
  <c r="M89" i="1"/>
  <c r="N89" i="1"/>
  <c r="O89" i="1"/>
  <c r="P89" i="1" s="1"/>
  <c r="L90" i="1"/>
  <c r="M90" i="1"/>
  <c r="N90" i="1"/>
  <c r="O90" i="1"/>
  <c r="P90" i="1" s="1"/>
  <c r="L91" i="1"/>
  <c r="M91" i="1"/>
  <c r="N91" i="1"/>
  <c r="O91" i="1"/>
  <c r="P91" i="1" s="1"/>
  <c r="L92" i="1"/>
  <c r="M92" i="1"/>
  <c r="N92" i="1"/>
  <c r="O92" i="1"/>
  <c r="P92" i="1" s="1"/>
  <c r="L93" i="1"/>
  <c r="M93" i="1"/>
  <c r="N93" i="1"/>
  <c r="O93" i="1"/>
  <c r="P93" i="1" s="1"/>
  <c r="L94" i="1"/>
  <c r="M94" i="1"/>
  <c r="N94" i="1"/>
  <c r="O94" i="1"/>
  <c r="P94" i="1" s="1"/>
  <c r="L95" i="1"/>
  <c r="M95" i="1"/>
  <c r="N95" i="1"/>
  <c r="O95" i="1"/>
  <c r="P95" i="1" s="1"/>
  <c r="L96" i="1"/>
  <c r="M96" i="1"/>
  <c r="N96" i="1"/>
  <c r="O96" i="1"/>
  <c r="P96" i="1" s="1"/>
  <c r="L97" i="1"/>
  <c r="M97" i="1"/>
  <c r="N97" i="1"/>
  <c r="O97" i="1"/>
  <c r="P97" i="1" s="1"/>
  <c r="L98" i="1"/>
  <c r="M98" i="1"/>
  <c r="N98" i="1"/>
  <c r="O98" i="1"/>
  <c r="P98" i="1" s="1"/>
  <c r="L99" i="1"/>
  <c r="M99" i="1"/>
  <c r="N99" i="1"/>
  <c r="O99" i="1"/>
  <c r="P99" i="1" s="1"/>
  <c r="L100" i="1"/>
  <c r="M100" i="1"/>
  <c r="N100" i="1"/>
  <c r="O100" i="1"/>
  <c r="P100" i="1"/>
  <c r="L101" i="1"/>
  <c r="M101" i="1"/>
  <c r="N101" i="1"/>
  <c r="O101" i="1"/>
  <c r="P101" i="1" s="1"/>
  <c r="L102" i="1"/>
  <c r="M102" i="1"/>
  <c r="N102" i="1"/>
  <c r="O102" i="1"/>
  <c r="P102" i="1" s="1"/>
  <c r="L103" i="1"/>
  <c r="M103" i="1"/>
  <c r="N103" i="1"/>
  <c r="O103" i="1"/>
  <c r="P103" i="1" s="1"/>
  <c r="L104" i="1"/>
  <c r="M104" i="1"/>
  <c r="N104" i="1"/>
  <c r="O104" i="1"/>
  <c r="P104" i="1" s="1"/>
  <c r="L105" i="1"/>
  <c r="M105" i="1"/>
  <c r="N105" i="1"/>
  <c r="O105" i="1"/>
  <c r="P105" i="1"/>
  <c r="L106" i="1"/>
  <c r="M106" i="1"/>
  <c r="N106" i="1"/>
  <c r="O106" i="1"/>
  <c r="P106" i="1" s="1"/>
  <c r="L107" i="1"/>
  <c r="M107" i="1"/>
  <c r="N107" i="1"/>
  <c r="O107" i="1"/>
  <c r="P107" i="1" s="1"/>
  <c r="L108" i="1"/>
  <c r="M108" i="1"/>
  <c r="N108" i="1"/>
  <c r="O108" i="1"/>
  <c r="P108" i="1" s="1"/>
  <c r="L109" i="1"/>
  <c r="M109" i="1"/>
  <c r="N109" i="1"/>
  <c r="O109" i="1"/>
  <c r="P109" i="1" s="1"/>
  <c r="L110" i="1"/>
  <c r="M110" i="1"/>
  <c r="N110" i="1"/>
  <c r="O110" i="1"/>
  <c r="P110" i="1" s="1"/>
  <c r="L111" i="1"/>
  <c r="M111" i="1"/>
  <c r="N111" i="1"/>
  <c r="O111" i="1"/>
  <c r="P111" i="1" s="1"/>
  <c r="L112" i="1"/>
  <c r="M112" i="1"/>
  <c r="N112" i="1"/>
  <c r="O112" i="1"/>
  <c r="P112" i="1" s="1"/>
  <c r="L113" i="1"/>
  <c r="M113" i="1"/>
  <c r="N113" i="1"/>
  <c r="O113" i="1"/>
  <c r="P113" i="1" s="1"/>
  <c r="L114" i="1"/>
  <c r="M114" i="1"/>
  <c r="N114" i="1"/>
  <c r="O114" i="1"/>
  <c r="P114" i="1" s="1"/>
  <c r="L115" i="1"/>
  <c r="M115" i="1"/>
  <c r="N115" i="1"/>
  <c r="O115" i="1"/>
  <c r="P115" i="1" s="1"/>
  <c r="L116" i="1"/>
  <c r="M116" i="1"/>
  <c r="N116" i="1"/>
  <c r="O116" i="1"/>
  <c r="P116" i="1" s="1"/>
  <c r="L117" i="1"/>
  <c r="M117" i="1"/>
  <c r="N117" i="1"/>
  <c r="O117" i="1"/>
  <c r="P117" i="1"/>
  <c r="L118" i="1"/>
  <c r="M118" i="1"/>
  <c r="N118" i="1"/>
  <c r="O118" i="1"/>
  <c r="P118" i="1" s="1"/>
  <c r="L119" i="1"/>
  <c r="M119" i="1"/>
  <c r="N119" i="1"/>
  <c r="O119" i="1"/>
  <c r="P119" i="1" s="1"/>
  <c r="L120" i="1"/>
  <c r="M120" i="1"/>
  <c r="N120" i="1"/>
  <c r="O120" i="1"/>
  <c r="P120" i="1" s="1"/>
  <c r="L121" i="1"/>
  <c r="M121" i="1"/>
  <c r="N121" i="1"/>
  <c r="O121" i="1"/>
  <c r="P121" i="1" s="1"/>
  <c r="L122" i="1"/>
  <c r="M122" i="1"/>
  <c r="N122" i="1"/>
  <c r="O122" i="1"/>
  <c r="P122" i="1" s="1"/>
  <c r="L123" i="1"/>
  <c r="M123" i="1"/>
  <c r="N123" i="1"/>
  <c r="O123" i="1"/>
  <c r="P123" i="1" s="1"/>
  <c r="L124" i="1"/>
  <c r="M124" i="1"/>
  <c r="N124" i="1"/>
  <c r="O124" i="1"/>
  <c r="P124" i="1" s="1"/>
  <c r="L125" i="1"/>
  <c r="M125" i="1"/>
  <c r="N125" i="1"/>
  <c r="O125" i="1"/>
  <c r="P125" i="1" s="1"/>
  <c r="L126" i="1"/>
  <c r="M126" i="1"/>
  <c r="N126" i="1"/>
  <c r="O126" i="1"/>
  <c r="P126" i="1" s="1"/>
  <c r="L127" i="1"/>
  <c r="M127" i="1"/>
  <c r="N127" i="1"/>
  <c r="O127" i="1"/>
  <c r="P127" i="1" s="1"/>
  <c r="L128" i="1"/>
  <c r="M128" i="1"/>
  <c r="N128" i="1"/>
  <c r="O128" i="1"/>
  <c r="P128" i="1" s="1"/>
  <c r="L129" i="1"/>
  <c r="M129" i="1"/>
  <c r="N129" i="1"/>
  <c r="O129" i="1"/>
  <c r="P129" i="1" s="1"/>
  <c r="L130" i="1"/>
  <c r="M130" i="1"/>
  <c r="N130" i="1"/>
  <c r="O130" i="1"/>
  <c r="P130" i="1" s="1"/>
  <c r="L131" i="1"/>
  <c r="M131" i="1"/>
  <c r="N131" i="1"/>
  <c r="O131" i="1"/>
  <c r="P131" i="1" s="1"/>
  <c r="L132" i="1"/>
  <c r="M132" i="1"/>
  <c r="N132" i="1"/>
  <c r="O132" i="1"/>
  <c r="P132" i="1" s="1"/>
  <c r="L133" i="1"/>
  <c r="M133" i="1"/>
  <c r="N133" i="1"/>
  <c r="O133" i="1"/>
  <c r="P133" i="1" s="1"/>
  <c r="L134" i="1"/>
  <c r="M134" i="1"/>
  <c r="N134" i="1"/>
  <c r="O134" i="1"/>
  <c r="P134" i="1" s="1"/>
  <c r="L135" i="1"/>
  <c r="M135" i="1"/>
  <c r="N135" i="1"/>
  <c r="O135" i="1"/>
  <c r="P135" i="1" s="1"/>
  <c r="L136" i="1"/>
  <c r="M136" i="1"/>
  <c r="N136" i="1"/>
  <c r="O136" i="1"/>
  <c r="P136" i="1" s="1"/>
  <c r="L137" i="1"/>
  <c r="M137" i="1"/>
  <c r="N137" i="1"/>
  <c r="O137" i="1"/>
  <c r="P137" i="1" s="1"/>
  <c r="L138" i="1"/>
  <c r="M138" i="1"/>
  <c r="N138" i="1"/>
  <c r="O138" i="1"/>
  <c r="P138" i="1" s="1"/>
  <c r="L139" i="1"/>
  <c r="M139" i="1"/>
  <c r="N139" i="1"/>
  <c r="O139" i="1"/>
  <c r="P139" i="1" s="1"/>
  <c r="L140" i="1"/>
  <c r="M140" i="1"/>
  <c r="N140" i="1"/>
  <c r="O140" i="1"/>
  <c r="P140" i="1" s="1"/>
  <c r="L141" i="1"/>
  <c r="M141" i="1"/>
  <c r="N141" i="1"/>
  <c r="O141" i="1"/>
  <c r="P141" i="1" s="1"/>
  <c r="L142" i="1"/>
  <c r="M142" i="1"/>
  <c r="N142" i="1"/>
  <c r="O142" i="1"/>
  <c r="P142" i="1" s="1"/>
  <c r="L143" i="1"/>
  <c r="M143" i="1"/>
  <c r="N143" i="1"/>
  <c r="O143" i="1"/>
  <c r="P143" i="1" s="1"/>
  <c r="L144" i="1"/>
  <c r="M144" i="1"/>
  <c r="N144" i="1"/>
  <c r="O144" i="1"/>
  <c r="P144" i="1" s="1"/>
  <c r="L145" i="1"/>
  <c r="M145" i="1"/>
  <c r="N145" i="1"/>
  <c r="O145" i="1"/>
  <c r="P145" i="1" s="1"/>
  <c r="L146" i="1"/>
  <c r="M146" i="1"/>
  <c r="N146" i="1"/>
  <c r="O146" i="1"/>
  <c r="P146" i="1" s="1"/>
  <c r="L147" i="1"/>
  <c r="M147" i="1"/>
  <c r="N147" i="1"/>
  <c r="O147" i="1"/>
  <c r="P147" i="1" s="1"/>
  <c r="L148" i="1"/>
  <c r="M148" i="1"/>
  <c r="N148" i="1"/>
  <c r="O148" i="1"/>
  <c r="P148" i="1" s="1"/>
  <c r="L149" i="1"/>
  <c r="M149" i="1"/>
  <c r="N149" i="1"/>
  <c r="O149" i="1"/>
  <c r="P149" i="1" s="1"/>
  <c r="L150" i="1"/>
  <c r="M150" i="1"/>
  <c r="N150" i="1"/>
  <c r="O150" i="1"/>
  <c r="P150" i="1" s="1"/>
  <c r="L151" i="1"/>
  <c r="M151" i="1"/>
  <c r="N151" i="1"/>
  <c r="O151" i="1"/>
  <c r="P151" i="1" s="1"/>
  <c r="L152" i="1"/>
  <c r="M152" i="1"/>
  <c r="N152" i="1"/>
  <c r="O152" i="1"/>
  <c r="P152" i="1" s="1"/>
  <c r="L153" i="1"/>
  <c r="M153" i="1"/>
  <c r="N153" i="1"/>
  <c r="O153" i="1"/>
  <c r="P153" i="1" s="1"/>
  <c r="L154" i="1"/>
  <c r="M154" i="1"/>
  <c r="N154" i="1"/>
  <c r="O154" i="1"/>
  <c r="P154" i="1" s="1"/>
  <c r="L155" i="1"/>
  <c r="M155" i="1"/>
  <c r="N155" i="1"/>
  <c r="O155" i="1"/>
  <c r="P155" i="1" s="1"/>
  <c r="L156" i="1"/>
  <c r="M156" i="1"/>
  <c r="N156" i="1"/>
  <c r="O156" i="1"/>
  <c r="P156" i="1" s="1"/>
  <c r="O2" i="1"/>
  <c r="P2" i="1" s="1"/>
  <c r="N2" i="1"/>
  <c r="M2" i="1"/>
  <c r="L2" i="1"/>
  <c r="Q8" i="1" l="1"/>
  <c r="Q4" i="1"/>
  <c r="Q145" i="1"/>
  <c r="Q24" i="1"/>
  <c r="Q105" i="1"/>
  <c r="Q87" i="1"/>
  <c r="Q16" i="1"/>
  <c r="Q12" i="1"/>
  <c r="Q5" i="1"/>
  <c r="Q110" i="1"/>
  <c r="Q60" i="1"/>
  <c r="Q57" i="1"/>
  <c r="Q99" i="1"/>
  <c r="Q156" i="1"/>
  <c r="Q153" i="1"/>
  <c r="Q56" i="1"/>
  <c r="Q14" i="1"/>
  <c r="Q86" i="1"/>
  <c r="Q29" i="1"/>
  <c r="Q115" i="1"/>
  <c r="Q58" i="1"/>
  <c r="Q28" i="1"/>
  <c r="Q19" i="1"/>
  <c r="Q3" i="1"/>
  <c r="Q92" i="1"/>
  <c r="Q2" i="1"/>
  <c r="Q126" i="1"/>
  <c r="Q67" i="1"/>
  <c r="Q30" i="1"/>
  <c r="Q149" i="1"/>
  <c r="Q141" i="1"/>
  <c r="Q136" i="1"/>
  <c r="Q129" i="1"/>
  <c r="Q113" i="1"/>
  <c r="Q106" i="1"/>
  <c r="Q104" i="1"/>
  <c r="Q101" i="1"/>
  <c r="Q89" i="1"/>
  <c r="Q61" i="1"/>
  <c r="Q33" i="1"/>
  <c r="Q17" i="1"/>
  <c r="Q142" i="1"/>
  <c r="E13" i="2" s="1"/>
  <c r="Q139" i="1"/>
  <c r="Q134" i="1"/>
  <c r="Q132" i="1"/>
  <c r="Q127" i="1"/>
  <c r="Q118" i="1"/>
  <c r="Q116" i="1"/>
  <c r="Q94" i="1"/>
  <c r="Q78" i="1"/>
  <c r="Q76" i="1"/>
  <c r="Q73" i="1"/>
  <c r="Q66" i="1"/>
  <c r="Q64" i="1"/>
  <c r="Q59" i="1"/>
  <c r="Q50" i="1"/>
  <c r="Q45" i="1"/>
  <c r="Q43" i="1"/>
  <c r="Q38" i="1"/>
  <c r="Q36" i="1"/>
  <c r="Q22" i="1"/>
  <c r="Q6" i="1"/>
  <c r="Q155" i="1"/>
  <c r="E23" i="2" s="1"/>
  <c r="Q154" i="1"/>
  <c r="Q151" i="1"/>
  <c r="Q148" i="1"/>
  <c r="Q125" i="1"/>
  <c r="Q109" i="1"/>
  <c r="Q85" i="1"/>
  <c r="Q13" i="1"/>
  <c r="Q137" i="1"/>
  <c r="Q128" i="1"/>
  <c r="Q119" i="1"/>
  <c r="Q112" i="1"/>
  <c r="Q102" i="1"/>
  <c r="Q100" i="1"/>
  <c r="Q97" i="1"/>
  <c r="Q88" i="1"/>
  <c r="Q79" i="1"/>
  <c r="Q51" i="1"/>
  <c r="Q48" i="1"/>
  <c r="Q39" i="1"/>
  <c r="Q32" i="1"/>
  <c r="E12" i="2" s="1"/>
  <c r="Q23" i="1"/>
  <c r="Q7" i="1"/>
  <c r="Q152" i="1"/>
  <c r="Q124" i="1"/>
  <c r="Q84" i="1"/>
  <c r="Q138" i="1"/>
  <c r="Q146" i="1"/>
  <c r="Q143" i="1"/>
  <c r="Q140" i="1"/>
  <c r="Q121" i="1"/>
  <c r="Q81" i="1"/>
  <c r="Q74" i="1"/>
  <c r="Q72" i="1"/>
  <c r="Q69" i="1"/>
  <c r="Q53" i="1"/>
  <c r="Q44" i="1"/>
  <c r="Q41" i="1"/>
  <c r="Q25" i="1"/>
  <c r="Q9" i="1"/>
  <c r="Q133" i="1"/>
  <c r="Q117" i="1"/>
  <c r="Q98" i="1"/>
  <c r="Q96" i="1"/>
  <c r="Q93" i="1"/>
  <c r="Q77" i="1"/>
  <c r="Q65" i="1"/>
  <c r="Q49" i="1"/>
  <c r="Q47" i="1"/>
  <c r="Q37" i="1"/>
  <c r="Q21" i="1"/>
  <c r="Q144" i="1"/>
  <c r="Q135" i="1"/>
  <c r="Q108" i="1"/>
  <c r="Q150" i="1"/>
  <c r="Q147" i="1"/>
  <c r="Q131" i="1"/>
  <c r="Q122" i="1"/>
  <c r="Q120" i="1"/>
  <c r="Q111" i="1"/>
  <c r="Q91" i="1"/>
  <c r="Q82" i="1"/>
  <c r="Q80" i="1"/>
  <c r="E5" i="2" s="1"/>
  <c r="Q75" i="1"/>
  <c r="Q70" i="1"/>
  <c r="E31" i="2" s="1"/>
  <c r="Q68" i="1"/>
  <c r="Q63" i="1"/>
  <c r="Q54" i="1"/>
  <c r="Q42" i="1"/>
  <c r="Q40" i="1"/>
  <c r="Q31" i="1"/>
  <c r="Q26" i="1"/>
  <c r="Q20" i="1"/>
  <c r="E25" i="2" s="1"/>
  <c r="Q15" i="1"/>
  <c r="E10" i="2" s="1"/>
  <c r="Q10" i="1"/>
  <c r="Q123" i="1"/>
  <c r="Q55" i="1"/>
  <c r="Q27" i="1"/>
  <c r="Q11" i="1"/>
  <c r="Q71" i="1"/>
  <c r="Q130" i="1"/>
  <c r="E27" i="2" s="1"/>
  <c r="Q107" i="1"/>
  <c r="Q90" i="1"/>
  <c r="Q83" i="1"/>
  <c r="Q62" i="1"/>
  <c r="Q34" i="1"/>
  <c r="Q18" i="1"/>
  <c r="Q114" i="1"/>
  <c r="Q95" i="1"/>
  <c r="E19" i="2" s="1"/>
  <c r="Q46" i="1"/>
  <c r="Q103" i="1"/>
  <c r="E32" i="2" l="1"/>
  <c r="E26" i="2"/>
  <c r="E33" i="2"/>
  <c r="E4" i="2"/>
  <c r="E16" i="2"/>
  <c r="E7" i="2"/>
  <c r="E14" i="2"/>
  <c r="E30" i="2"/>
  <c r="E22" i="2"/>
  <c r="E34" i="2"/>
  <c r="E17" i="2"/>
  <c r="E9" i="2"/>
  <c r="E6" i="2"/>
  <c r="E21" i="2"/>
  <c r="E29" i="2"/>
  <c r="E24" i="2"/>
  <c r="E18" i="2"/>
  <c r="E8" i="2"/>
  <c r="E15" i="2"/>
  <c r="E11" i="2"/>
  <c r="E20" i="2"/>
  <c r="E28" i="2"/>
</calcChain>
</file>

<file path=xl/sharedStrings.xml><?xml version="1.0" encoding="utf-8"?>
<sst xmlns="http://schemas.openxmlformats.org/spreadsheetml/2006/main" count="661" uniqueCount="86">
  <si>
    <t>R2_test</t>
  </si>
  <si>
    <t>retorno_strat_gross</t>
  </si>
  <si>
    <t>retorno_strat_net</t>
  </si>
  <si>
    <t>total_cost</t>
  </si>
  <si>
    <t>n_trades</t>
  </si>
  <si>
    <t>sharpe_gross</t>
  </si>
  <si>
    <t>sharpe_net</t>
  </si>
  <si>
    <t>max_drawdown_gross</t>
  </si>
  <si>
    <t>max_drawdown_net</t>
  </si>
  <si>
    <t>ticker</t>
  </si>
  <si>
    <t>modelo</t>
  </si>
  <si>
    <t>ANA.MC</t>
  </si>
  <si>
    <t>LinearRegression</t>
  </si>
  <si>
    <t>Ridge</t>
  </si>
  <si>
    <t>RandomForest</t>
  </si>
  <si>
    <t>DecisionTree</t>
  </si>
  <si>
    <t>SVR</t>
  </si>
  <si>
    <t>ACX.MC</t>
  </si>
  <si>
    <t>ACS.MC</t>
  </si>
  <si>
    <t>AMS.MC</t>
  </si>
  <si>
    <t>MTS.MC</t>
  </si>
  <si>
    <t>SAB.MC</t>
  </si>
  <si>
    <t>BKT.MC</t>
  </si>
  <si>
    <t>BBVA.MC</t>
  </si>
  <si>
    <t>CABK.MC</t>
  </si>
  <si>
    <t>ENG.MC</t>
  </si>
  <si>
    <t>ELE.MC</t>
  </si>
  <si>
    <t>FER.MC</t>
  </si>
  <si>
    <t>FDR.MC</t>
  </si>
  <si>
    <t>GRF.MC</t>
  </si>
  <si>
    <t>IAG.MC</t>
  </si>
  <si>
    <t>IBE.MC</t>
  </si>
  <si>
    <t>ITX.MC</t>
  </si>
  <si>
    <t>IDR.MC</t>
  </si>
  <si>
    <t>COL.MC</t>
  </si>
  <si>
    <t>LOG.MC</t>
  </si>
  <si>
    <t>MAP.MC</t>
  </si>
  <si>
    <t>MEL.MC</t>
  </si>
  <si>
    <t>MRL.MC</t>
  </si>
  <si>
    <t>NTGY.MC</t>
  </si>
  <si>
    <t>RED.MC</t>
  </si>
  <si>
    <t>REP.MC</t>
  </si>
  <si>
    <t>ROVI.MC</t>
  </si>
  <si>
    <t>SCYR.MC</t>
  </si>
  <si>
    <t>SAN.MC</t>
  </si>
  <si>
    <t>SLR.MC</t>
  </si>
  <si>
    <t>TEF.MC</t>
  </si>
  <si>
    <t>R2_norm</t>
  </si>
  <si>
    <t>retorno_norm</t>
  </si>
  <si>
    <t>sharpe_norm</t>
  </si>
  <si>
    <t>drawdown_norm</t>
  </si>
  <si>
    <t>drawdown_inv</t>
  </si>
  <si>
    <t>score</t>
  </si>
  <si>
    <t>Etiquetas de fila</t>
  </si>
  <si>
    <t>Total general</t>
  </si>
  <si>
    <t>Promedio de score</t>
  </si>
  <si>
    <t>score_medio</t>
  </si>
  <si>
    <t>Ticker</t>
  </si>
  <si>
    <t>Modelo</t>
  </si>
  <si>
    <t>R2 Test</t>
  </si>
  <si>
    <t>Retorno</t>
  </si>
  <si>
    <t>Nº Trades</t>
  </si>
  <si>
    <t>Sharpe</t>
  </si>
  <si>
    <t>Max. Drawdown</t>
  </si>
  <si>
    <r>
      <rPr>
        <b/>
        <sz val="11"/>
        <color theme="1"/>
        <rFont val="Arial"/>
        <family val="2"/>
      </rPr>
      <t xml:space="preserve">Tabla B.2: </t>
    </r>
    <r>
      <rPr>
        <sz val="11"/>
        <color theme="1"/>
        <rFont val="Arial"/>
        <family val="2"/>
      </rPr>
      <t>Activos, modelos y métricas asociadas</t>
    </r>
  </si>
  <si>
    <r>
      <rPr>
        <b/>
        <sz val="11"/>
        <color theme="1"/>
        <rFont val="Arial"/>
        <family val="2"/>
      </rPr>
      <t>Tabla 5.4-1:</t>
    </r>
    <r>
      <rPr>
        <sz val="11"/>
        <color theme="1"/>
        <rFont val="Arial"/>
        <family val="2"/>
      </rPr>
      <t xml:space="preserve"> Activos seleccionados para la cartera final y métricas asociadas</t>
    </r>
  </si>
  <si>
    <t>Tabla B.3: Hiperparametros Reg. Lineal para los Activos Seleccionados</t>
  </si>
  <si>
    <t>fit_intercept</t>
  </si>
  <si>
    <t>False</t>
  </si>
  <si>
    <t>True</t>
  </si>
  <si>
    <t>C</t>
  </si>
  <si>
    <t>epsilon</t>
  </si>
  <si>
    <t>kernel</t>
  </si>
  <si>
    <t>gamma</t>
  </si>
  <si>
    <t>degree</t>
  </si>
  <si>
    <t>0.01</t>
  </si>
  <si>
    <t>linear</t>
  </si>
  <si>
    <t>scale</t>
  </si>
  <si>
    <t>rbf</t>
  </si>
  <si>
    <t>Tabla B.4: Hiperparametros SVR para los Activos Seleccionados</t>
  </si>
  <si>
    <t>max_depth</t>
  </si>
  <si>
    <t>min_samples_split</t>
  </si>
  <si>
    <t>min_samples_leaf</t>
  </si>
  <si>
    <t>max_features</t>
  </si>
  <si>
    <t>Tabla B.5: Hiperparametros Árbol de Decisión para los Activos Seleccionados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</si>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</sst>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18" fillId="34" borderId="0" xfId="0" applyFont="1" applyFill="1" applyAlignment="1">
      <alignment horizontal="center" vertical="top"/>
    </xf>
    <xf numFmtId="0" fontId="18" fillId="33" borderId="0" xfId="0" applyFont="1" applyFill="1" applyAlignment="1">
      <alignment horizontal="center" vertical="top"/>
    </xf>
    <xf numFmtId="0" fontId="0" fillId="36" borderId="0" xfId="0" applyFill="1"/>
    <xf numFmtId="49" fontId="0" fillId="36" borderId="0" xfId="0" applyNumberFormat="1" applyFill="1"/>
    <xf numFmtId="2" fontId="0" fillId="36" borderId="0" xfId="0" applyNumberFormat="1" applyFill="1"/>
    <xf numFmtId="49" fontId="0" fillId="37" borderId="0" xfId="0" applyNumberFormat="1" applyFill="1"/>
    <xf numFmtId="2" fontId="0" fillId="38" borderId="0" xfId="0" applyNumberFormat="1" applyFill="1"/>
    <xf numFmtId="49" fontId="16" fillId="0" borderId="0" xfId="0" applyNumberFormat="1" applyFont="1" applyAlignment="1">
      <alignment horizontal="center"/>
    </xf>
    <xf numFmtId="49" fontId="16" fillId="35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6" borderId="0" xfId="0" applyFill="1" applyAlignment="1">
      <alignment horizontal="left"/>
    </xf>
    <xf numFmtId="0" fontId="16" fillId="0" borderId="0" xfId="0" applyFont="1"/>
    <xf numFmtId="0" fontId="0" fillId="39" borderId="0" xfId="0" applyFill="1"/>
    <xf numFmtId="49" fontId="0" fillId="39" borderId="0" xfId="0" applyNumberFormat="1" applyFill="1"/>
    <xf numFmtId="0" fontId="0" fillId="40" borderId="0" xfId="0" applyFill="1"/>
    <xf numFmtId="49" fontId="0" fillId="40" borderId="0" xfId="0" applyNumberFormat="1" applyFill="1"/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16" fillId="0" borderId="11" xfId="0" applyFont="1" applyBorder="1"/>
    <xf numFmtId="0" fontId="20" fillId="0" borderId="10" xfId="0" applyFont="1" applyBorder="1"/>
    <xf numFmtId="0" fontId="19" fillId="0" borderId="0" xfId="0" applyFont="1"/>
    <xf numFmtId="0" fontId="19" fillId="0" borderId="0" xfId="0" applyFont="1" applyAlignment="1">
      <alignment horizontal="right"/>
    </xf>
    <xf numFmtId="0" fontId="19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10" xfId="0" applyFont="1" applyBorder="1" applyAlignment="1">
      <alignment horizontal="center"/>
    </xf>
    <xf numFmtId="2" fontId="19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6">
    <dxf>
      <numFmt numFmtId="30" formatCode="@"/>
      <fill>
        <patternFill patternType="solid">
          <fgColor indexed="64"/>
          <bgColor theme="9" tint="0.7999816888943144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30" formatCode="@"/>
      <fill>
        <patternFill patternType="solid">
          <fgColor indexed="64"/>
          <bgColor theme="5" tint="0.79998168889431442"/>
        </patternFill>
      </fill>
    </dxf>
    <dxf>
      <numFmt numFmtId="2" formatCode="0.00"/>
      <fill>
        <patternFill patternType="solid">
          <fgColor indexed="64"/>
          <bgColor theme="9" tint="0.79998168889431442"/>
        </patternFill>
      </fill>
    </dxf>
    <dxf>
      <numFmt numFmtId="30" formatCode="@"/>
      <fill>
        <patternFill patternType="solid">
          <fgColor indexed="64"/>
          <bgColor theme="9" tint="0.79998168889431442"/>
        </patternFill>
      </fill>
    </dxf>
    <dxf>
      <numFmt numFmtId="30" formatCode="@"/>
      <fill>
        <patternFill patternType="solid">
          <fgColor indexed="64"/>
          <bgColor theme="9" tint="0.79998168889431442"/>
        </patternFill>
      </fill>
    </dxf>
    <dxf>
      <numFmt numFmtId="30" formatCode="@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fill>
        <patternFill patternType="solid">
          <fgColor indexed="64"/>
          <bgColor theme="3" tint="0.89999084444715716"/>
        </patternFill>
      </fill>
    </dxf>
    <dxf>
      <numFmt numFmtId="2" formatCode="0.00"/>
      <fill>
        <patternFill patternType="solid">
          <fgColor indexed="64"/>
          <bgColor theme="3" tint="0.89999084444715716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3" tint="0.89999084444715716"/>
        </patternFill>
      </fill>
    </dxf>
    <dxf>
      <numFmt numFmtId="2" formatCode="0.00"/>
      <fill>
        <patternFill patternType="solid">
          <fgColor indexed="64"/>
          <bgColor theme="3" tint="0.89999084444715716"/>
        </patternFill>
      </fill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Torre Rivas" refreshedDate="45904.867503587964" createdVersion="8" refreshedVersion="8" minRefreshableVersion="3" recordCount="155" xr:uid="{61A2C5C7-7858-446C-B7A6-048C356A7AAF}">
  <cacheSource type="worksheet">
    <worksheetSource name="Tabla1"/>
  </cacheSource>
  <cacheFields count="17">
    <cacheField name="ticker" numFmtId="49">
      <sharedItems/>
    </cacheField>
    <cacheField name="modelo" numFmtId="49">
      <sharedItems count="5">
        <s v="LinearRegression"/>
        <s v="Ridge"/>
        <s v="RandomForest"/>
        <s v="DecisionTree"/>
        <s v="SVR"/>
      </sharedItems>
    </cacheField>
    <cacheField name="R2_test" numFmtId="2">
      <sharedItems containsSemiMixedTypes="0" containsString="0" containsNumber="1" minValue="-1.6091972409952401E-2" maxValue="0.27987530963716301"/>
    </cacheField>
    <cacheField name="retorno_strat_net" numFmtId="2">
      <sharedItems containsSemiMixedTypes="0" containsString="0" containsNumber="1" minValue="0.32592791617739902" maxValue="4.1176204024174998"/>
    </cacheField>
    <cacheField name="n_trades" numFmtId="0">
      <sharedItems containsSemiMixedTypes="0" containsString="0" containsNumber="1" containsInteger="1" minValue="60" maxValue="473"/>
    </cacheField>
    <cacheField name="sharpe_net" numFmtId="2">
      <sharedItems containsSemiMixedTypes="0" containsString="0" containsNumber="1" minValue="-1.19375395471941" maxValue="1.6995484075405101"/>
    </cacheField>
    <cacheField name="max_drawdown_net" numFmtId="2">
      <sharedItems containsSemiMixedTypes="0" containsString="0" containsNumber="1" minValue="8.2809750703517704E-2" maxValue="0.71291074315436898"/>
    </cacheField>
    <cacheField name="retorno_strat_gross" numFmtId="2">
      <sharedItems containsSemiMixedTypes="0" containsString="0" containsNumber="1" minValue="0.37760795631522698" maxValue="4.4116679898189002"/>
    </cacheField>
    <cacheField name="total_cost" numFmtId="2">
      <sharedItems containsSemiMixedTypes="0" containsString="0" containsNumber="1" minValue="0.03" maxValue="0.23649999999999999"/>
    </cacheField>
    <cacheField name="sharpe_gross" numFmtId="2">
      <sharedItems containsSemiMixedTypes="0" containsString="0" containsNumber="1" minValue="-0.94056917844479004" maxValue="1.9049752179816599"/>
    </cacheField>
    <cacheField name="max_drawdown_gross" numFmtId="2">
      <sharedItems containsSemiMixedTypes="0" containsString="0" containsNumber="1" minValue="6.8656623317054494E-2" maxValue="0.66938143551542795"/>
    </cacheField>
    <cacheField name="R2_norm" numFmtId="0">
      <sharedItems containsSemiMixedTypes="0" containsString="0" containsNumber="1" minValue="0" maxValue="1"/>
    </cacheField>
    <cacheField name="retorno_norm" numFmtId="49">
      <sharedItems containsSemiMixedTypes="0" containsString="0" containsNumber="1" minValue="0" maxValue="1"/>
    </cacheField>
    <cacheField name="sharpe_norm" numFmtId="49">
      <sharedItems containsSemiMixedTypes="0" containsString="0" containsNumber="1" minValue="0" maxValue="1"/>
    </cacheField>
    <cacheField name="drawdown_norm" numFmtId="49">
      <sharedItems containsSemiMixedTypes="0" containsString="0" containsNumber="1" minValue="0" maxValue="1"/>
    </cacheField>
    <cacheField name="drawdown_inv" numFmtId="2">
      <sharedItems containsSemiMixedTypes="0" containsString="0" containsNumber="1" minValue="0" maxValue="1"/>
    </cacheField>
    <cacheField name="score" numFmtId="49">
      <sharedItems containsSemiMixedTypes="0" containsString="0" containsNumber="1" minValue="5.7081862045423919E-2" maxValue="0.818969142855403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s v="ANA.MC"/>
    <x v="0"/>
    <n v="3.2714988696801998E-2"/>
    <n v="0.97061235296112902"/>
    <n v="420"/>
    <n v="5.3037165248531498E-2"/>
    <n v="0.34344083284864202"/>
    <n v="1.19773517274954"/>
    <n v="0.21"/>
    <n v="0.38646483144350302"/>
    <n v="0.30136710924338"/>
    <n v="0.1649066098427216"/>
    <n v="0.17002550684773721"/>
    <n v="0.43092320257675715"/>
    <n v="0.41363382262162346"/>
    <n v="0.5863661773783766"/>
    <n v="0.33053917027156793"/>
  </r>
  <r>
    <s v="ANA.MC"/>
    <x v="1"/>
    <n v="3.3120764450733302E-2"/>
    <n v="0.96267277957707598"/>
    <n v="422"/>
    <n v="4.0065858691185001E-2"/>
    <n v="0.34881146271201402"/>
    <n v="1.1891308766356801"/>
    <n v="0.21099999999999999"/>
    <n v="0.374979056906172"/>
    <n v="0.30638595180868"/>
    <n v="0.1662776254195944"/>
    <n v="0.16793156768656697"/>
    <n v="0.42643998411796641"/>
    <n v="0.42215726557397037"/>
    <n v="0.57784273442602963"/>
    <n v="0.32713553751048485"/>
  </r>
  <r>
    <s v="ANA.MC"/>
    <x v="2"/>
    <n v="9.1999579559392197E-2"/>
    <n v="1.19266544636579"/>
    <n v="363"/>
    <n v="0.37057894398167701"/>
    <n v="0.30038579462922399"/>
    <n v="1.4309729707861201"/>
    <n v="0.18149999999999999"/>
    <n v="0.647405196516188"/>
    <n v="0.25395395365869"/>
    <n v="0.36521453054441794"/>
    <n v="0.22858856126485638"/>
    <n v="0.54067384007498187"/>
    <n v="0.34530344584828998"/>
    <n v="0.65469655415171002"/>
    <n v="0.43476093734117705"/>
  </r>
  <r>
    <s v="ANA.MC"/>
    <x v="3"/>
    <n v="0.13443596106545699"/>
    <n v="1.0220091070942801"/>
    <n v="391"/>
    <n v="0.13288899097294701"/>
    <n v="0.34039492608691202"/>
    <n v="1.24350779876008"/>
    <n v="0.19550000000000001"/>
    <n v="0.45312912915810899"/>
    <n v="0.28350923049242099"/>
    <n v="0.508596532813538"/>
    <n v="0.18358060244677848"/>
    <n v="0.45852205528084999"/>
    <n v="0.40879982490026995"/>
    <n v="0.59120017509973"/>
    <n v="0.41259013890094215"/>
  </r>
  <r>
    <s v="ANA.MC"/>
    <x v="4"/>
    <n v="3.6314721643289E-2"/>
    <n v="0.84284098020638598"/>
    <n v="438"/>
    <n v="-0.16350325195288501"/>
    <n v="0.42542690278580603"/>
    <n v="1.04951793190126"/>
    <n v="0.219"/>
    <n v="0.17729723162547301"/>
    <n v="0.38488833431049602"/>
    <n v="0.17706921417381097"/>
    <n v="0.1363277918514868"/>
    <n v="0.35608124342794573"/>
    <n v="0.5437495833003515"/>
    <n v="0.4562504166996485"/>
    <n v="0.27438663675852165"/>
  </r>
  <r>
    <s v="ACX.MC"/>
    <x v="0"/>
    <n v="0.205396555545067"/>
    <n v="1.11094374426701"/>
    <n v="371"/>
    <n v="0.27417557582924601"/>
    <n v="0.248397427029798"/>
    <n v="1.33801206546291"/>
    <n v="0.1855"/>
    <n v="0.60168587038946297"/>
    <n v="0.196494768621848"/>
    <n v="0.74835477226756553"/>
    <n v="0.2070357316523958"/>
    <n v="0.50735434695531634"/>
    <n v="0.26279545391954984"/>
    <n v="0.73720454608045016"/>
    <n v="0.51142888725191682"/>
  </r>
  <r>
    <s v="ACX.MC"/>
    <x v="1"/>
    <n v="0.20592480248565601"/>
    <n v="1.11094374426701"/>
    <n v="371"/>
    <n v="0.27417557582924601"/>
    <n v="0.248397427029798"/>
    <n v="1.33801206546291"/>
    <n v="0.1855"/>
    <n v="0.60168587038946297"/>
    <n v="0.196494768621848"/>
    <n v="0.75013958759220301"/>
    <n v="0.2070357316523958"/>
    <n v="0.50735434695531634"/>
    <n v="0.26279545391954984"/>
    <n v="0.73720454608045016"/>
    <n v="0.5117858503168442"/>
  </r>
  <r>
    <s v="ACX.MC"/>
    <x v="2"/>
    <n v="0.22789896338173601"/>
    <n v="1.37619647511855"/>
    <n v="349"/>
    <n v="0.643184712435519"/>
    <n v="0.22192320975104199"/>
    <n v="1.63921912091522"/>
    <n v="0.17449999999999999"/>
    <n v="0.948929967616988"/>
    <n v="0.18393173768941301"/>
    <n v="0.82438482424164428"/>
    <n v="0.27699201946163443"/>
    <n v="0.63489343219563155"/>
    <n v="0.22077962217838487"/>
    <n v="0.77922037782161513"/>
    <n v="0.59428667590983164"/>
  </r>
  <r>
    <s v="ACX.MC"/>
    <x v="3"/>
    <n v="0.23842018458843101"/>
    <n v="1.61485724676187"/>
    <n v="329"/>
    <n v="0.82142928273245497"/>
    <n v="0.210614806547746"/>
    <n v="1.90492815133981"/>
    <n v="0.16450000000000001"/>
    <n v="1.07317611106387"/>
    <n v="0.19089907137061701"/>
    <n v="0.85993341979559512"/>
    <n v="0.33993509106077124"/>
    <n v="0.69649935787486517"/>
    <n v="0.20283265282144"/>
    <n v="0.79716734717855997"/>
    <n v="0.64235048807552197"/>
  </r>
  <r>
    <s v="ACX.MC"/>
    <x v="4"/>
    <n v="0.23090371221964701"/>
    <n v="1.1621636885641899"/>
    <n v="355"/>
    <n v="0.36640635849215802"/>
    <n v="0.29376198163844602"/>
    <n v="1.3884978680220801"/>
    <n v="0.17749999999999999"/>
    <n v="0.70368915135738597"/>
    <n v="0.24223685707724199"/>
    <n v="0.83453712491869236"/>
    <n v="0.22054419640344169"/>
    <n v="0.53923168679575806"/>
    <n v="0.33479114215390304"/>
    <n v="0.66520885784609696"/>
    <n v="0.52788196151271782"/>
  </r>
  <r>
    <s v="ACS.MC"/>
    <x v="0"/>
    <n v="9.7235512410647304E-2"/>
    <n v="1.18924979681798"/>
    <n v="381"/>
    <n v="0.50450897667436601"/>
    <n v="0.12809173753898501"/>
    <n v="1.4389411130779599"/>
    <n v="0.1905"/>
    <n v="0.99383552049609403"/>
    <n v="0.116655551573391"/>
    <n v="0.38290544832100376"/>
    <n v="0.22768773674910117"/>
    <n v="0.58696351737925012"/>
    <n v="7.1864649283185117E-2"/>
    <n v="0.92813535071681486"/>
    <n v="0.50660353604606911"/>
  </r>
  <r>
    <s v="ACS.MC"/>
    <x v="1"/>
    <n v="9.8567815462241207E-2"/>
    <n v="1.2069846688481101"/>
    <n v="381"/>
    <n v="0.54110684930888497"/>
    <n v="0.12809173753898501"/>
    <n v="1.4603907960789999"/>
    <n v="0.1905"/>
    <n v="1.02906819504452"/>
    <n v="0.116655551573391"/>
    <n v="0.38740696971343191"/>
    <n v="0.23236503378584378"/>
    <n v="0.59961268710029259"/>
    <n v="7.1864649283185117E-2"/>
    <n v="0.92813535071681486"/>
    <n v="0.51270178035189029"/>
  </r>
  <r>
    <s v="ACS.MC"/>
    <x v="2"/>
    <n v="0.16906028370713"/>
    <n v="1.5368210008635601"/>
    <n v="327"/>
    <n v="1.1450437082331699"/>
    <n v="0.116920944237366"/>
    <n v="1.81022416550476"/>
    <n v="0.16350000000000001"/>
    <n v="1.5673530680154499"/>
    <n v="9.4500714983511203E-2"/>
    <n v="0.62558352678863938"/>
    <n v="0.31935424327801987"/>
    <n v="0.80834885888862862"/>
    <n v="5.4136073331941335E-2"/>
    <n v="0.94586392666805863"/>
    <n v="0.65260042134133411"/>
  </r>
  <r>
    <s v="ACS.MC"/>
    <x v="3"/>
    <n v="0.139437171361774"/>
    <n v="1.5136411683061299"/>
    <n v="363"/>
    <n v="1.00328795097066"/>
    <n v="0.11909685540113001"/>
    <n v="1.8155196191763301"/>
    <n v="0.18149999999999999"/>
    <n v="1.4223612024504999"/>
    <n v="0.106591792637"/>
    <n v="0.52549438132478266"/>
    <n v="0.31324092247430252"/>
    <n v="0.75935440911678165"/>
    <n v="5.7589346997327172E-2"/>
    <n v="0.94241065300267279"/>
    <n v="0.61535960634281628"/>
  </r>
  <r>
    <s v="ACS.MC"/>
    <x v="4"/>
    <n v="5.2604988555934797E-2"/>
    <n v="1.42324172506028"/>
    <n v="417"/>
    <n v="0.92438523363996905"/>
    <n v="0.130277592157171"/>
    <n v="1.75331503286275"/>
    <n v="0.20849999999999999"/>
    <n v="1.4368355262474599"/>
    <n v="0.121045385998518"/>
    <n v="0.2321099835452462"/>
    <n v="0.28939947341852973"/>
    <n v="0.73208359277905832"/>
    <n v="7.5333703679820577E-2"/>
    <n v="0.92466629632017938"/>
    <n v="0.5378001758323615"/>
  </r>
  <r>
    <s v="AMS.MC"/>
    <x v="0"/>
    <n v="0.194186181448047"/>
    <n v="0.62827051723143301"/>
    <n v="459"/>
    <n v="-0.861640477729962"/>
    <n v="0.42855202869956899"/>
    <n v="0.79074789006865398"/>
    <n v="0.22950000000000001"/>
    <n v="-0.39931819136025198"/>
    <n v="0.28398477500873598"/>
    <n v="0.71047770011458555"/>
    <n v="7.9738164988649024E-2"/>
    <n v="0.11478699264947843"/>
    <n v="0.54870930555314057"/>
    <n v="0.45129069444685943"/>
    <n v="0.29071122620372725"/>
  </r>
  <r>
    <s v="AMS.MC"/>
    <x v="1"/>
    <n v="0.194801627075435"/>
    <n v="0.68818543894653905"/>
    <n v="465"/>
    <n v="-0.65915152468805305"/>
    <n v="0.37405598038013299"/>
    <n v="0.86875676532832702"/>
    <n v="0.23250000000000001"/>
    <n v="-0.200089702293267"/>
    <n v="0.21334842798602"/>
    <n v="0.71255713816304522"/>
    <n v="9.5539794981728599E-2"/>
    <n v="0.18477240298306954"/>
    <n v="0.46222150602204121"/>
    <n v="0.53777849397795885"/>
    <n v="0.3341607858176403"/>
  </r>
  <r>
    <s v="AMS.MC"/>
    <x v="2"/>
    <n v="0.18244525376488999"/>
    <n v="1.1138550340786799"/>
    <n v="367"/>
    <n v="0.29896651331076102"/>
    <n v="0.18256138251428899"/>
    <n v="1.33878064460375"/>
    <n v="0.1835"/>
    <n v="0.68145971015234996"/>
    <n v="0.159648995492503"/>
    <n v="0.67080801905406884"/>
    <n v="0.2078035391215497"/>
    <n v="0.51592273503838948"/>
    <n v="0.15831054546157067"/>
    <n v="0.84168945453842936"/>
    <n v="0.51961737696648147"/>
  </r>
  <r>
    <s v="AMS.MC"/>
    <x v="3"/>
    <n v="0.207691345559223"/>
    <n v="0.89823826022303999"/>
    <n v="327"/>
    <n v="-0.19145165567386099"/>
    <n v="0.231223743805688"/>
    <n v="1.0580917005508801"/>
    <n v="0.16350000000000001"/>
    <n v="0.20202628181896201"/>
    <n v="0.205235769975288"/>
    <n v="0.75610829825964021"/>
    <n v="0.15093796401541848"/>
    <n v="0.34642155348833437"/>
    <n v="0.23554000847530293"/>
    <n v="0.76445999152469701"/>
    <n v="0.4533215132079933"/>
  </r>
  <r>
    <s v="AMS.MC"/>
    <x v="4"/>
    <n v="0.15788067981734299"/>
    <n v="0.87694845756129602"/>
    <n v="393"/>
    <n v="-0.18549359073816701"/>
    <n v="0.226461554554794"/>
    <n v="1.0679081849168599"/>
    <n v="0.19650000000000001"/>
    <n v="0.21124433804857101"/>
    <n v="0.1984992954449"/>
    <n v="0.58781041953009006"/>
    <n v="0.14532310924040606"/>
    <n v="0.34848081456433205"/>
    <n v="0.22798218947811183"/>
    <n v="0.77201781052188823"/>
    <n v="0.42010682315181713"/>
  </r>
  <r>
    <s v="MTS.MC"/>
    <x v="0"/>
    <n v="0.139834132086917"/>
    <n v="0.74280795749971495"/>
    <n v="383"/>
    <n v="-0.32555457321324899"/>
    <n v="0.39901808887024498"/>
    <n v="0.90007612339628096"/>
    <n v="0.1915"/>
    <n v="-4.6115394997016397E-2"/>
    <n v="0.29355587173640602"/>
    <n v="0.52683561310688154"/>
    <n v="0.10994563584340154"/>
    <n v="0.30007212271724759"/>
    <n v="0.50183754978197714"/>
    <n v="0.49816245021802286"/>
    <n v="0.32800494023317561"/>
  </r>
  <r>
    <s v="MTS.MC"/>
    <x v="1"/>
    <n v="0.14229426316128799"/>
    <n v="0.70726069075773002"/>
    <n v="379"/>
    <n v="-0.38596537477058102"/>
    <n v="0.42777823351644001"/>
    <n v="0.85532715054805297"/>
    <n v="0.1895"/>
    <n v="-0.114666474296482"/>
    <n v="0.34490677181818602"/>
    <n v="0.53514778551105746"/>
    <n v="0.10057059636670755"/>
    <n v="0.27919258992270551"/>
    <n v="0.54748125609376863"/>
    <n v="0.45251874390623137"/>
    <n v="0.31146226177028169"/>
  </r>
  <r>
    <s v="MTS.MC"/>
    <x v="2"/>
    <n v="0.260626547921608"/>
    <n v="0.64712532274668"/>
    <n v="413"/>
    <n v="-0.49353928810092201"/>
    <n v="0.502129138854018"/>
    <n v="0.79619799745997599"/>
    <n v="0.20649999999999999"/>
    <n v="-0.20600006971975701"/>
    <n v="0.39784616235145598"/>
    <n v="0.9349632108575745"/>
    <n v="8.4710827087084037E-2"/>
    <n v="0.24201226797173031"/>
    <n v="0.66547965036447354"/>
    <n v="0.33452034963552646"/>
    <n v="0.35191364061626451"/>
  </r>
  <r>
    <s v="MTS.MC"/>
    <x v="3"/>
    <n v="0.256192984552572"/>
    <n v="0.73795826350819305"/>
    <n v="397"/>
    <n v="-0.34321462354224702"/>
    <n v="0.37344715384746702"/>
    <n v="0.90067246976553605"/>
    <n v="0.19850000000000001"/>
    <n v="-4.9079573212607398E-2"/>
    <n v="0.274695203542976"/>
    <n v="0.91998330044865906"/>
    <n v="0.10866660437945207"/>
    <n v="0.29396835334998239"/>
    <n v="0.46125526959334129"/>
    <n v="0.53874473040665871"/>
    <n v="0.4125360934898939"/>
  </r>
  <r>
    <s v="MTS.MC"/>
    <x v="4"/>
    <n v="0.226150780512649"/>
    <n v="0.72043181279802704"/>
    <n v="373"/>
    <n v="-0.33664026220729198"/>
    <n v="0.45907074576513501"/>
    <n v="0.86873188393276002"/>
    <n v="0.1865"/>
    <n v="-7.9872016660946302E-2"/>
    <n v="0.372181469596573"/>
    <n v="0.81847814814895126"/>
    <n v="0.10404427522861275"/>
    <n v="0.29624062237402593"/>
    <n v="0.59714394925503345"/>
    <n v="0.40285605074496655"/>
    <n v="0.36435230905957516"/>
  </r>
  <r>
    <s v="SAB.MC"/>
    <x v="0"/>
    <n v="7.3500648915439896E-3"/>
    <n v="0.98531449351031297"/>
    <n v="386"/>
    <n v="9.3958151293819694E-2"/>
    <n v="0.321654313883105"/>
    <n v="1.19547912600194"/>
    <n v="0.193"/>
    <n v="0.36076114489084599"/>
    <n v="0.28422921955500102"/>
    <n v="7.9204826761103339E-2"/>
    <n v="0.17390296806130803"/>
    <n v="0.44506655191316224"/>
    <n v="0.37905758924545335"/>
    <n v="0.6209424107545467"/>
    <n v="0.3257203034954711"/>
  </r>
  <r>
    <s v="SAB.MC"/>
    <x v="1"/>
    <n v="2.16791739530697E-3"/>
    <n v="1.0112757160342201"/>
    <n v="386"/>
    <n v="0.124299992235539"/>
    <n v="0.27036106324325498"/>
    <n v="1.22686164098469"/>
    <n v="0.193"/>
    <n v="0.40848171565041302"/>
    <n v="0.25589094190584999"/>
    <n v="6.1695636351968647E-2"/>
    <n v="0.18074983726763721"/>
    <n v="0.45555347555360048"/>
    <n v="0.29765278072366558"/>
    <n v="0.70234721927633448"/>
    <n v="0.34369956497203191"/>
  </r>
  <r>
    <s v="SAB.MC"/>
    <x v="2"/>
    <n v="0.13058994979159699"/>
    <n v="1.35758575051776"/>
    <n v="354"/>
    <n v="0.56522468020213301"/>
    <n v="0.29711110618591702"/>
    <n v="1.62112815044682"/>
    <n v="0.17699999999999999"/>
    <n v="0.83473496554037596"/>
    <n v="0.24215399493658099"/>
    <n v="0.49560181512968354"/>
    <n v="0.27208372991327895"/>
    <n v="0.60794843216718908"/>
    <n v="0.34010636080551027"/>
    <n v="0.65989363919448973"/>
    <n v="0.49510873948897505"/>
  </r>
  <r>
    <s v="SAB.MC"/>
    <x v="3"/>
    <n v="5.2885376078247101E-2"/>
    <n v="4.1176204024174998"/>
    <n v="137"/>
    <n v="1.61788567184844"/>
    <n v="0.29209692484997901"/>
    <n v="4.4116679898189002"/>
    <n v="6.8500000000000005E-2"/>
    <n v="1.69217715645952"/>
    <n v="0.282039210771108"/>
    <n v="0.23305734340331208"/>
    <n v="1"/>
    <n v="0.97177525005430665"/>
    <n v="0.33214861848164123"/>
    <n v="0.66785138151835877"/>
    <n v="0.77171432000062612"/>
  </r>
  <r>
    <s v="SAB.MC"/>
    <x v="4"/>
    <n v="3.7401739289903299E-2"/>
    <n v="0.92157077301224399"/>
    <n v="358"/>
    <n v="-1.3377176925446601E-2"/>
    <n v="0.31336772735884599"/>
    <n v="1.1025843662178301"/>
    <n v="0.17899999999999999"/>
    <n v="0.25183635124291098"/>
    <n v="0.28863722860506902"/>
    <n v="0.18074197705184172"/>
    <n v="0.15709155185880946"/>
    <n v="0.40796869113672124"/>
    <n v="0.3659063855121798"/>
    <n v="0.6340936144878202"/>
    <n v="0.33248519120659159"/>
  </r>
  <r>
    <s v="BKT.MC"/>
    <x v="0"/>
    <n v="5.1401471950853199E-2"/>
    <n v="1.12767299466104"/>
    <n v="302"/>
    <n v="0.32011056772799801"/>
    <n v="0.16566828835504399"/>
    <n v="1.31177109401976"/>
    <n v="0.151"/>
    <n v="0.62447113628247097"/>
    <n v="0.12944709704953999"/>
    <n v="0.22804359959646223"/>
    <n v="0.21144781160211212"/>
    <n v="0.52323066617377267"/>
    <n v="0.1315004081000386"/>
    <n v="0.8684995918999614"/>
    <n v="0.43971218163205017"/>
  </r>
  <r>
    <s v="BKT.MC"/>
    <x v="1"/>
    <n v="5.7505704950309697E-2"/>
    <n v="1.1539510349958499"/>
    <n v="308"/>
    <n v="0.36520698175181598"/>
    <n v="0.16614121525933401"/>
    <n v="1.34637548043009"/>
    <n v="0.154"/>
    <n v="0.67424255027660396"/>
    <n v="0.12944709704953999"/>
    <n v="0.24866828809998662"/>
    <n v="0.21837823658519603"/>
    <n v="0.53881715122699525"/>
    <n v="0.13225096540744818"/>
    <n v="0.86774903459255182"/>
    <n v="0.45044208088216509"/>
  </r>
  <r>
    <s v="BKT.MC"/>
    <x v="2"/>
    <n v="0.10166180835843799"/>
    <n v="1.5113525689834599"/>
    <n v="355"/>
    <n v="0.865758408765397"/>
    <n v="0.15156540751251699"/>
    <n v="1.80504759482914"/>
    <n v="0.17749999999999999"/>
    <n v="1.2042727890138201"/>
    <n v="0.14684950132972999"/>
    <n v="0.39786080391698503"/>
    <n v="0.31263733994988235"/>
    <n v="0.7118206483874534"/>
    <n v="0.10911847090030145"/>
    <n v="0.89088152909969853"/>
    <n v="0.56508586310453746"/>
  </r>
  <r>
    <s v="BKT.MC"/>
    <x v="3"/>
    <n v="9.9728554246682005E-2"/>
    <n v="1.48349150874698"/>
    <n v="379"/>
    <n v="0.81739454232747"/>
    <n v="0.15156540751251699"/>
    <n v="1.7932282989424799"/>
    <n v="0.1895"/>
    <n v="1.17188616084605"/>
    <n v="0.14684950132972899"/>
    <n v="0.39132881802184061"/>
    <n v="0.30528941805548121"/>
    <n v="0.69510484741594669"/>
    <n v="0.10911847090030145"/>
    <n v="0.89088152909969853"/>
    <n v="0.55656034906573615"/>
  </r>
  <r>
    <s v="BKT.MC"/>
    <x v="4"/>
    <n v="8.5100655723708701E-2"/>
    <n v="1.2991134817735599"/>
    <n v="298"/>
    <n v="0.602799735020215"/>
    <n v="0.150402357264319"/>
    <n v="1.5081364220859701"/>
    <n v="0.14899999999999999"/>
    <n v="0.90344173648542903"/>
    <n v="0.139626795930655"/>
    <n v="0.34190477891252896"/>
    <n v="0.25666257723373193"/>
    <n v="0.62093534128122052"/>
    <n v="0.10727265528957822"/>
    <n v="0.89272734471042181"/>
    <n v="0.51020580027907581"/>
  </r>
  <r>
    <s v="BBVA.MC"/>
    <x v="0"/>
    <n v="0.221794813082377"/>
    <n v="1.27803186086283"/>
    <n v="385"/>
    <n v="0.520009987543399"/>
    <n v="0.223303595674162"/>
    <n v="1.54994671575159"/>
    <n v="0.1925"/>
    <n v="0.86098609338020504"/>
    <n v="0.191048621039973"/>
    <n v="0.80376041516122676"/>
    <n v="0.25110262716203324"/>
    <n v="0.59232106696384501"/>
    <n v="0.22297035975800816"/>
    <n v="0.77702964024199184"/>
    <n v="0.56918511931840721"/>
  </r>
  <r>
    <s v="BBVA.MC"/>
    <x v="1"/>
    <n v="0.21997818909372199"/>
    <n v="1.1937644790276001"/>
    <n v="389"/>
    <n v="0.40202040872491701"/>
    <n v="0.219205936595325"/>
    <n v="1.4506667076303199"/>
    <n v="0.19450000000000001"/>
    <n v="0.74827793816219901"/>
    <n v="0.189062161903019"/>
    <n v="0.79762249350958347"/>
    <n v="0.22887841405903694"/>
    <n v="0.55154082209295574"/>
    <n v="0.21646718149304675"/>
    <n v="0.78353281850695322"/>
    <n v="0.55035683324890516"/>
  </r>
  <r>
    <s v="BBVA.MC"/>
    <x v="2"/>
    <n v="0.21255173546956899"/>
    <n v="1.8148186033326701"/>
    <n v="363"/>
    <n v="1.0155963471696501"/>
    <n v="0.21078706494046601"/>
    <n v="2.17711197614778"/>
    <n v="0.18149999999999999"/>
    <n v="1.2997298799152599"/>
    <n v="0.196948222134852"/>
    <n v="0.77253034963210321"/>
    <n v="0.39267179302076716"/>
    <n v="0.7636085086397143"/>
    <n v="0.20310603501696708"/>
    <n v="0.79689396498303289"/>
    <n v="0.6607689534211717"/>
  </r>
  <r>
    <s v="BBVA.MC"/>
    <x v="3"/>
    <n v="0.16613798330041499"/>
    <n v="3.1793147394727601"/>
    <n v="287"/>
    <n v="1.6995484075405101"/>
    <n v="0.177116189718553"/>
    <n v="3.6720652222919501"/>
    <n v="0.14349999999999999"/>
    <n v="1.9049752179816599"/>
    <n v="0.171018550964603"/>
    <n v="0.61570979890053501"/>
    <n v="0.75253645532969426"/>
    <n v="1"/>
    <n v="0.14966876761805978"/>
    <n v="0.85033123238194019"/>
    <n v="0.81896914285540334"/>
  </r>
  <r>
    <s v="BBVA.MC"/>
    <x v="4"/>
    <n v="0.208764011252563"/>
    <n v="1.3627275551310301"/>
    <n v="383"/>
    <n v="0.66187136532843904"/>
    <n v="0.18618030297273799"/>
    <n v="1.65098487677629"/>
    <n v="0.1915"/>
    <n v="1.0242562062498399"/>
    <n v="0.151992649718308"/>
    <n v="0.75973256944907952"/>
    <n v="0.27343980101660015"/>
    <n v="0.64135202191534679"/>
    <n v="0.16405394295150763"/>
    <n v="0.83594605704849234"/>
    <n v="0.5935732721790985"/>
  </r>
  <r>
    <s v="CABK.MC"/>
    <x v="0"/>
    <n v="4.5729605461328197E-2"/>
    <n v="1.1331711168431899"/>
    <n v="367"/>
    <n v="0.28909836152983198"/>
    <n v="0.31651621807694302"/>
    <n v="1.3619077344777"/>
    <n v="0.1835"/>
    <n v="0.54855037691618203"/>
    <n v="0.28634741078417503"/>
    <n v="0.20887977023568147"/>
    <n v="0.21289785592983712"/>
    <n v="0.51251204699221464"/>
    <n v="0.37090318881168044"/>
    <n v="0.6290968111883195"/>
    <n v="0.38521828716141571"/>
  </r>
  <r>
    <s v="CABK.MC"/>
    <x v="1"/>
    <n v="4.5907868760496698E-2"/>
    <n v="1.1276697305102901"/>
    <n v="371"/>
    <n v="0.28229349991105801"/>
    <n v="0.31651621807694302"/>
    <n v="1.3580179178074301"/>
    <n v="0.1855"/>
    <n v="0.54475692596708902"/>
    <n v="0.28634741078417503"/>
    <n v="0.20948207768647639"/>
    <n v="0.2114469507330512"/>
    <n v="0.51016011111868276"/>
    <n v="0.37090318881168044"/>
    <n v="0.6290968111883195"/>
    <n v="0.3841978963304794"/>
  </r>
  <r>
    <s v="CABK.MC"/>
    <x v="2"/>
    <n v="0.14762162859681399"/>
    <n v="1.4693177847746901"/>
    <n v="393"/>
    <n v="0.71163042547101696"/>
    <n v="0.15024008954350601"/>
    <n v="1.7890002170993899"/>
    <n v="0.19650000000000001"/>
    <n v="1.02806357419628"/>
    <n v="0.12930471737143701"/>
    <n v="0.55314763130035649"/>
    <n v="0.30155131850660533"/>
    <n v="0.65855003785437638"/>
    <n v="0.10701512876167699"/>
    <n v="0.89298487123832304"/>
    <n v="0.57725690741603042"/>
  </r>
  <r>
    <s v="CABK.MC"/>
    <x v="3"/>
    <n v="9.8456721760735305E-2"/>
    <n v="0.97872383351934999"/>
    <n v="118"/>
    <n v="-3.0365584653830598E-2"/>
    <n v="0.17306848060300001"/>
    <n v="1.0382745496330701"/>
    <n v="5.8999999999999997E-2"/>
    <n v="0.17688367694603599"/>
    <n v="0.15674009808866199"/>
    <n v="0.3870316116646047"/>
    <n v="0.17216478385600126"/>
    <n v="0.40209705879370039"/>
    <n v="0.14324486230121691"/>
    <n v="0.85675513769878309"/>
    <n v="0.42103590266758806"/>
  </r>
  <r>
    <s v="CABK.MC"/>
    <x v="4"/>
    <n v="4.5379398215467097E-2"/>
    <n v="1.37157040140145"/>
    <n v="391"/>
    <n v="0.55664528308761596"/>
    <n v="0.270825480832877"/>
    <n v="1.66814325053693"/>
    <n v="0.19550000000000001"/>
    <n v="0.83262250315598396"/>
    <n v="0.22735138857388601"/>
    <n v="0.20769650685792287"/>
    <n v="0.27577196437175366"/>
    <n v="0.60498317100871968"/>
    <n v="0.29838983334727054"/>
    <n v="0.70161016665272946"/>
    <n v="0.44608787531627248"/>
  </r>
  <r>
    <s v="ENG.MC"/>
    <x v="0"/>
    <n v="8.5770772364279296E-2"/>
    <n v="0.87556615519723202"/>
    <n v="426"/>
    <n v="-0.25087709787727702"/>
    <n v="0.280255692248772"/>
    <n v="1.0836423686849599"/>
    <n v="0.21299999999999999"/>
    <n v="0.25856365209229998"/>
    <n v="0.20746723952234"/>
    <n v="0.34416893674759641"/>
    <n v="0.1449585484620517"/>
    <n v="0.32588258632798561"/>
    <n v="0.31335602373401333"/>
    <n v="0.68664397626598661"/>
    <n v="0.34741492303972776"/>
  </r>
  <r>
    <s v="ENG.MC"/>
    <x v="1"/>
    <n v="8.5764338730234896E-2"/>
    <n v="0.88430500076523999"/>
    <n v="424"/>
    <n v="-0.22290903885610999"/>
    <n v="0.29357880964530503"/>
    <n v="1.0933399260099399"/>
    <n v="0.21199999999999999"/>
    <n v="0.27811990532304798"/>
    <n v="0.22016865625113299"/>
    <n v="0.34414719909470487"/>
    <n v="0.14726328324730154"/>
    <n v="0.3355490696468329"/>
    <n v="0.3345004395596593"/>
    <n v="0.66549956044034064"/>
    <n v="0.34677305777524947"/>
  </r>
  <r>
    <s v="ENG.MC"/>
    <x v="2"/>
    <n v="7.4117353139962996E-2"/>
    <n v="1.0057740535727799"/>
    <n v="328"/>
    <n v="8.5876361027487205E-2"/>
    <n v="0.18903038034813999"/>
    <n v="1.1854035451821501"/>
    <n v="0.16400000000000001"/>
    <n v="0.44142374706941501"/>
    <n v="0.17589880729527799"/>
    <n v="0.30479492505375932"/>
    <n v="0.1792988592462377"/>
    <n v="0.44227327652938253"/>
    <n v="0.16857715019851779"/>
    <n v="0.83142284980148218"/>
    <n v="0.41371519570373438"/>
  </r>
  <r>
    <s v="ENG.MC"/>
    <x v="3"/>
    <n v="0.116018114444377"/>
    <n v="1.2120076403240101"/>
    <n v="306"/>
    <n v="0.48393785492589297"/>
    <n v="0.16960869337745399"/>
    <n v="1.4128314669225801"/>
    <n v="0.153"/>
    <n v="0.81411817590174296"/>
    <n v="0.127164372959369"/>
    <n v="0.44636719957883259"/>
    <n v="0.2336897644949211"/>
    <n v="0.57985360656702334"/>
    <n v="0.1377540167589987"/>
    <n v="0.86224598324100132"/>
    <n v="0.50578564788255009"/>
  </r>
  <r>
    <s v="ENG.MC"/>
    <x v="4"/>
    <n v="5.3757355863663002E-2"/>
    <n v="0.90692490186394104"/>
    <n v="380"/>
    <n v="-0.16616552228213899"/>
    <n v="0.29692920526619798"/>
    <n v="1.0969246818785101"/>
    <n v="0.19"/>
    <n v="0.28742560685506602"/>
    <n v="0.22218663486093501"/>
    <n v="0.23600354671127463"/>
    <n v="0.15322893082573458"/>
    <n v="0.35516109406368279"/>
    <n v="0.33981767546475"/>
    <n v="0.66018232453525005"/>
    <n v="0.33175418171613014"/>
  </r>
  <r>
    <s v="ELE.MC"/>
    <x v="0"/>
    <n v="9.9316701334936794E-2"/>
    <n v="1.27205410591015"/>
    <n v="414"/>
    <n v="0.59955718448777795"/>
    <n v="0.22780062781899599"/>
    <n v="1.56495174964145"/>
    <n v="0.20699999999999999"/>
    <n v="1.0577357040894999"/>
    <n v="0.15278309956768099"/>
    <n v="0.38993726923679739"/>
    <n v="0.24952608714082294"/>
    <n v="0.61981463209619636"/>
    <n v="0.23010736191910977"/>
    <n v="0.76989263808089026"/>
    <n v="0.49276819723464327"/>
  </r>
  <r>
    <s v="ELE.MC"/>
    <x v="1"/>
    <n v="0.10273901932861799"/>
    <n v="1.28897046733972"/>
    <n v="416"/>
    <n v="0.62368958232850802"/>
    <n v="0.22438198781014901"/>
    <n v="1.5873533611625801"/>
    <n v="0.20799999999999999"/>
    <n v="1.07962945322604"/>
    <n v="0.150749461367505"/>
    <n v="0.40150043246892925"/>
    <n v="0.25398751471992087"/>
    <n v="0.62815541187625379"/>
    <n v="0.22468181895091069"/>
    <n v="0.77531818104908934"/>
    <n v="0.50000660068245617"/>
  </r>
  <r>
    <s v="ELE.MC"/>
    <x v="2"/>
    <n v="0.11952035750432501"/>
    <n v="1.12431002908542"/>
    <n v="396"/>
    <n v="0.31410975137632702"/>
    <n v="0.22615490612938199"/>
    <n v="1.37094157541977"/>
    <n v="0.19800000000000001"/>
    <n v="0.71457540347060999"/>
    <n v="0.18917796763780001"/>
    <n v="0.45820040977600052"/>
    <n v="0.21056088166572512"/>
    <n v="0.52115662910459337"/>
    <n v="0.22749552396085998"/>
    <n v="0.77250447603913996"/>
    <n v="0.46565623039412368"/>
  </r>
  <r>
    <s v="ELE.MC"/>
    <x v="3"/>
    <n v="0.110761183504828"/>
    <n v="1.0268456652859299"/>
    <n v="374"/>
    <n v="0.13028804925429999"/>
    <n v="0.18290865246033899"/>
    <n v="1.23822926921011"/>
    <n v="0.187"/>
    <n v="0.55013131623968803"/>
    <n v="0.11539461294006199"/>
    <n v="0.42860533447270194"/>
    <n v="0.18485616954753928"/>
    <n v="0.45762310266788653"/>
    <n v="0.15886167924839309"/>
    <n v="0.84113832075160688"/>
    <n v="0.44669251270948951"/>
  </r>
  <r>
    <s v="ELE.MC"/>
    <x v="4"/>
    <n v="0.100683630671247"/>
    <n v="1.33317523861051"/>
    <n v="424"/>
    <n v="0.68815192871790498"/>
    <n v="0.22870131638773999"/>
    <n v="1.64838191927161"/>
    <n v="0.21199999999999999"/>
    <n v="1.14595097477955"/>
    <n v="0.154624044110339"/>
    <n v="0.39455578425256388"/>
    <n v="0.26564583654617846"/>
    <n v="0.6504352631735949"/>
    <n v="0.23153679716764139"/>
    <n v="0.76846320283235858"/>
    <n v="0.50742812733291653"/>
  </r>
  <r>
    <s v="FER.MC"/>
    <x v="0"/>
    <n v="0.20911322204532801"/>
    <n v="1.1857920453606901"/>
    <n v="389"/>
    <n v="0.47404186996749398"/>
    <n v="0.146962136075934"/>
    <n v="1.4408084098809599"/>
    <n v="0.19450000000000001"/>
    <n v="0.94555604280914196"/>
    <n v="0.12442536157659501"/>
    <n v="0.76091246605910212"/>
    <n v="0.22677580850865497"/>
    <n v="0.5764332986560764"/>
    <n v="0.10181286197136132"/>
    <n v="0.8981871380286387"/>
    <n v="0.57278265296696762"/>
  </r>
  <r>
    <s v="FER.MC"/>
    <x v="1"/>
    <n v="0.209158040183611"/>
    <n v="1.1857920453606901"/>
    <n v="389"/>
    <n v="0.47404186996749398"/>
    <n v="0.146962136075934"/>
    <n v="1.4408084098809599"/>
    <n v="0.19450000000000001"/>
    <n v="0.94555604280914196"/>
    <n v="0.12442536157659501"/>
    <n v="0.76106389542647346"/>
    <n v="0.22677580850865497"/>
    <n v="0.5764332986560764"/>
    <n v="0.10181286197136132"/>
    <n v="0.8981871380286387"/>
    <n v="0.57281293884044182"/>
  </r>
  <r>
    <s v="FER.MC"/>
    <x v="2"/>
    <n v="0.19479613639530599"/>
    <n v="1.3402024793696401"/>
    <n v="385"/>
    <n v="0.78328136280731397"/>
    <n v="0.122314616284689"/>
    <n v="1.6251679135550301"/>
    <n v="0.1925"/>
    <n v="1.26486982914892"/>
    <n v="9.7246660006937297E-2"/>
    <n v="0.71253858651743407"/>
    <n v="0.26749916214803882"/>
    <n v="0.68331445178874695"/>
    <n v="6.2696085317232267E-2"/>
    <n v="0.93730391468276775"/>
    <n v="0.61521258442107607"/>
  </r>
  <r>
    <s v="FER.MC"/>
    <x v="3"/>
    <n v="0.15125400088798599"/>
    <n v="1.4681610086446899"/>
    <n v="363"/>
    <n v="0.90976539903624998"/>
    <n v="0.109122085632369"/>
    <n v="1.7610477902391399"/>
    <n v="0.18149999999999999"/>
    <n v="1.3152550998993899"/>
    <n v="0.10099183020574901"/>
    <n v="0.56542051587748932"/>
    <n v="0.30124623676957152"/>
    <n v="0.72703060046328127"/>
    <n v="4.1758916815074994E-2"/>
    <n v="0.95824108318492496"/>
    <n v="0.61321537098233869"/>
  </r>
  <r>
    <s v="FER.MC"/>
    <x v="4"/>
    <n v="0.122170064332703"/>
    <n v="1.1575477802834999"/>
    <n v="387"/>
    <n v="0.42567620937846001"/>
    <n v="0.117128462615385"/>
    <n v="1.4048712408302899"/>
    <n v="0.19350000000000001"/>
    <n v="0.90749337064012703"/>
    <n v="0.10644395036200401"/>
    <n v="0.46715311160861794"/>
    <n v="0.21932682228952263"/>
    <n v="0.55971687757962307"/>
    <n v="5.4465414787525826E-2"/>
    <n v="0.94553458521247413"/>
    <n v="0.51625064932496212"/>
  </r>
  <r>
    <s v="FDR.MC"/>
    <x v="0"/>
    <n v="0.13266049027874399"/>
    <n v="0.41672129791374901"/>
    <n v="365"/>
    <n v="-0.770023434295524"/>
    <n v="0.64916981947318098"/>
    <n v="0.50059685259032904"/>
    <n v="0.1825"/>
    <n v="-0.57915888181588004"/>
    <n v="0.58191113257962301"/>
    <n v="0.50259765761884556"/>
    <n v="2.3945344213919115E-2"/>
    <n v="0.1464522083661231"/>
    <n v="0.89884014714330118"/>
    <n v="0.10115985285669882"/>
    <n v="0.17187076786912156"/>
  </r>
  <r>
    <s v="FDR.MC"/>
    <x v="1"/>
    <n v="0.13222552634072199"/>
    <n v="0.41672129791374901"/>
    <n v="365"/>
    <n v="-0.770023434295524"/>
    <n v="0.64916981947318098"/>
    <n v="0.50059685259032904"/>
    <n v="0.1825"/>
    <n v="-0.57915888181588004"/>
    <n v="0.58191113257962301"/>
    <n v="0.50112802241115129"/>
    <n v="2.3945344213919115E-2"/>
    <n v="0.1464522083661231"/>
    <n v="0.89884014714330118"/>
    <n v="0.10115985285669882"/>
    <n v="0.17157684082758271"/>
  </r>
  <r>
    <s v="FDR.MC"/>
    <x v="2"/>
    <n v="9.9454911212352295E-2"/>
    <n v="0.56389016860961405"/>
    <n v="379"/>
    <n v="-0.46507661979609499"/>
    <n v="0.51521308523781395"/>
    <n v="0.68213269682448496"/>
    <n v="0.1895"/>
    <n v="-0.26256881470056198"/>
    <n v="0.46272317432975002"/>
    <n v="0.3904042461149832"/>
    <n v="6.2758848006733259E-2"/>
    <n v="0.25184970102957194"/>
    <n v="0.68624449051002612"/>
    <n v="0.31375550948997388"/>
    <n v="0.23521451583188296"/>
  </r>
  <r>
    <s v="FDR.MC"/>
    <x v="3"/>
    <n v="0.16287399670702701"/>
    <n v="0.72590290503957"/>
    <n v="181"/>
    <n v="-0.12938194677180301"/>
    <n v="0.52021962372209696"/>
    <n v="0.79512794810503096"/>
    <n v="9.0499999999999997E-2"/>
    <n v="-4.4821108328744301E-2"/>
    <n v="0.50646401272821095"/>
    <n v="0.60468159817911771"/>
    <n v="0.10548719082933652"/>
    <n v="0.36787444749336196"/>
    <n v="0.69419010326776753"/>
    <n v="0.30580989673223247"/>
    <n v="0.32410679047907959"/>
  </r>
  <r>
    <s v="FDR.MC"/>
    <x v="4"/>
    <n v="0.12103094533809899"/>
    <n v="0.445255021068243"/>
    <n v="357"/>
    <n v="-0.67651898762955098"/>
    <n v="0.64082391008004702"/>
    <n v="0.53274988690570602"/>
    <n v="0.17849999999999999"/>
    <n v="-0.49414095051484602"/>
    <n v="0.57388328471720695"/>
    <n v="0.46330431120498866"/>
    <n v="3.1470670505025715E-2"/>
    <n v="0.1787697593713827"/>
    <n v="0.88559479521856999"/>
    <n v="0.11440520478143001"/>
    <n v="0.17861403216020627"/>
  </r>
  <r>
    <s v="GRF.MC"/>
    <x v="0"/>
    <n v="0.116956091724831"/>
    <n v="0.81276604747505399"/>
    <n v="272"/>
    <n v="8.9450077487370698E-4"/>
    <n v="0.62609460899173497"/>
    <n v="0.93171890093908005"/>
    <n v="0.13600000000000001"/>
    <n v="0.121538590733128"/>
    <n v="0.59065969560489295"/>
    <n v="0.4495363920448589"/>
    <n v="0.12839599547283195"/>
    <n v="0.41290135143744872"/>
    <n v="0.86221869953743047"/>
    <n v="0.13778130046256953"/>
    <n v="0.27985274257456988"/>
  </r>
  <r>
    <s v="GRF.MC"/>
    <x v="1"/>
    <n v="0.11664850994692399"/>
    <n v="0.81276604747505399"/>
    <n v="272"/>
    <n v="8.9450077487370698E-4"/>
    <n v="0.62609460899173497"/>
    <n v="0.93171890093908005"/>
    <n v="0.13600000000000001"/>
    <n v="0.121538590733128"/>
    <n v="0.59065969560489295"/>
    <n v="0.44849714954555442"/>
    <n v="0.12839599547283195"/>
    <n v="0.41290135143744872"/>
    <n v="0.86221869953743047"/>
    <n v="0.13778130046256953"/>
    <n v="0.27964489407470899"/>
  </r>
  <r>
    <s v="GRF.MC"/>
    <x v="2"/>
    <n v="6.8534987504013906E-2"/>
    <n v="0.897375358244768"/>
    <n v="359"/>
    <n v="6.0470776594503499E-2"/>
    <n v="0.35614409017013998"/>
    <n v="1.07442333868074"/>
    <n v="0.17949999999999999"/>
    <n v="0.233332834365272"/>
    <n v="0.35095238203319501"/>
    <n v="0.28593349686704367"/>
    <n v="0.15071038702139708"/>
    <n v="0.43349245059000857"/>
    <n v="0.43379449126632302"/>
    <n v="0.56620550873367703"/>
    <n v="0.34568865240356583"/>
  </r>
  <r>
    <s v="GRF.MC"/>
    <x v="3"/>
    <n v="0.13534284913901401"/>
    <n v="0.72487139420693603"/>
    <n v="365"/>
    <n v="-0.21826238341943799"/>
    <n v="0.45797567393534699"/>
    <n v="0.870562055221757"/>
    <n v="0.1825"/>
    <n v="-1.36940996989811E-2"/>
    <n v="0.40751286144328902"/>
    <n v="0.51166068256443065"/>
    <n v="0.10521514586884005"/>
    <n v="0.33715507374003889"/>
    <n v="0.59540601860120501"/>
    <n v="0.40459398139879499"/>
    <n v="0.31596199867530883"/>
  </r>
  <r>
    <s v="GRF.MC"/>
    <x v="4"/>
    <n v="2.0622542774752901E-2"/>
    <n v="0.78420153020499195"/>
    <n v="292"/>
    <n v="-3.85261020853358E-2"/>
    <n v="0.56632151044914902"/>
    <n v="0.90773277847751099"/>
    <n v="0.14599999999999999"/>
    <n v="9.1117248239616006E-2"/>
    <n v="0.52777158594172702"/>
    <n v="0.12404923588432545"/>
    <n v="0.12086254771204399"/>
    <n v="0.39927657326894139"/>
    <n v="0.76735597235763109"/>
    <n v="0.23264402764236891"/>
    <n v="0.22738038899963448"/>
  </r>
  <r>
    <s v="IAG.MC"/>
    <x v="0"/>
    <n v="9.7612462334898398E-2"/>
    <n v="1.35775832098692"/>
    <n v="335"/>
    <n v="0.48149009164690898"/>
    <n v="0.32390099256833499"/>
    <n v="1.6063131996740501"/>
    <n v="0.16749999999999901"/>
    <n v="0.66886051401130397"/>
    <n v="0.30487726498880102"/>
    <n v="0.38417906857268785"/>
    <n v="0.27212924269412453"/>
    <n v="0.5790075963777972"/>
    <n v="0.38262317430585974"/>
    <n v="0.61737682569414032"/>
    <n v="0.45565223057494209"/>
  </r>
  <r>
    <s v="IAG.MC"/>
    <x v="1"/>
    <n v="0.103442548775322"/>
    <n v="1.0696215845088"/>
    <n v="349"/>
    <n v="0.215837663327241"/>
    <n v="0.33875320105830498"/>
    <n v="1.2744656262276199"/>
    <n v="0.17449999999999999"/>
    <n v="0.41432265038211402"/>
    <n v="0.32014737731409998"/>
    <n v="0.40387748388433536"/>
    <n v="0.19613765383934359"/>
    <n v="0.48719125813924186"/>
    <n v="0.40619432983158044"/>
    <n v="0.59380567016841956"/>
    <n v="0.40453530440412661"/>
  </r>
  <r>
    <s v="IAG.MC"/>
    <x v="2"/>
    <n v="0.166764765671226"/>
    <n v="1.5796525954401801"/>
    <n v="383"/>
    <n v="0.69638029309461402"/>
    <n v="0.31135750176131599"/>
    <n v="1.9139351087123799"/>
    <n v="0.1915"/>
    <n v="0.93762887532227102"/>
    <n v="0.293039076782316"/>
    <n v="0.6178275409917412"/>
    <n v="0.33065041107961618"/>
    <n v="0.65327919835439019"/>
    <n v="0.36271606265661505"/>
    <n v="0.63728393734338495"/>
    <n v="0.54620117849722716"/>
  </r>
  <r>
    <s v="IAG.MC"/>
    <x v="3"/>
    <n v="4.9134627613402301E-2"/>
    <n v="1.07540710129666"/>
    <n v="281"/>
    <n v="0.216281913141677"/>
    <n v="0.292547120236408"/>
    <n v="1.2379725046702099"/>
    <n v="0.14050000000000001"/>
    <n v="0.45217198192365898"/>
    <n v="0.273758932718556"/>
    <n v="0.22038449511108865"/>
    <n v="0.19766349403046019"/>
    <n v="0.48734480234541638"/>
    <n v="0.33286309979784723"/>
    <n v="0.66713690020215277"/>
    <n v="0.38300676797541122"/>
  </r>
  <r>
    <s v="IAG.MC"/>
    <x v="4"/>
    <n v="0.139946447549154"/>
    <n v="1.15600462927049"/>
    <n v="427"/>
    <n v="0.305035287993283"/>
    <n v="0.26345118372115001"/>
    <n v="1.43192259831047"/>
    <n v="0.2135"/>
    <n v="0.55890862624392501"/>
    <n v="0.24392160524894901"/>
    <n v="0.52721509918203202"/>
    <n v="0.21891984017833879"/>
    <n v="0.5180202602613605"/>
    <n v="0.28668647594888941"/>
    <n v="0.71331352405111059"/>
    <n v="0.46918775477853836"/>
  </r>
  <r>
    <s v="IBE.MC"/>
    <x v="0"/>
    <n v="0.16873194939816399"/>
    <n v="1.43526541280381"/>
    <n v="380"/>
    <n v="0.93229285810740004"/>
    <n v="0.13540346681291801"/>
    <n v="1.7361536188214199"/>
    <n v="0.19"/>
    <n v="1.3984749358127"/>
    <n v="0.12490320812121899"/>
    <n v="0.62447416663675026"/>
    <n v="0.2925705343068174"/>
    <n v="0.73481667196586498"/>
    <n v="8.3468708571352856E-2"/>
    <n v="0.9165312914286472"/>
    <n v="0.61641725349488419"/>
  </r>
  <r>
    <s v="IBE.MC"/>
    <x v="1"/>
    <n v="0.16858770933890299"/>
    <n v="1.43526541280381"/>
    <n v="380"/>
    <n v="0.93229285810740004"/>
    <n v="0.13540346681291801"/>
    <n v="1.7361536188214199"/>
    <n v="0.19"/>
    <n v="1.3984749358127"/>
    <n v="0.12490320812121899"/>
    <n v="0.6239868152705339"/>
    <n v="0.2925705343068174"/>
    <n v="0.73481667196586498"/>
    <n v="8.3468708571352856E-2"/>
    <n v="0.9165312914286472"/>
    <n v="0.61631978322164094"/>
  </r>
  <r>
    <s v="IBE.MC"/>
    <x v="2"/>
    <n v="0.14102881718367499"/>
    <n v="1.36278013342066"/>
    <n v="368"/>
    <n v="0.83980629202955703"/>
    <n v="0.12951971933939599"/>
    <n v="1.6385103943489701"/>
    <n v="0.184"/>
    <n v="1.3105701816152699"/>
    <n v="0.125129121792076"/>
    <n v="0.53087215758063133"/>
    <n v="0.27345366772383461"/>
    <n v="0.70285092677302485"/>
    <n v="7.4130923765402146E-2"/>
    <n v="0.9258690762345978"/>
    <n v="0.58423962511210359"/>
  </r>
  <r>
    <s v="IBE.MC"/>
    <x v="3"/>
    <n v="0.115329743915539"/>
    <n v="1.34183813875165"/>
    <n v="356"/>
    <n v="0.84292531200203802"/>
    <n v="0.127390778555828"/>
    <n v="1.6035524886586801"/>
    <n v="0.17799999999999999"/>
    <n v="1.3249029672946699"/>
    <n v="0.12016289154766401"/>
    <n v="0.44404136638512026"/>
    <n v="0.26793054190468985"/>
    <n v="0.70392894060703171"/>
    <n v="7.0752194309212549E-2"/>
    <n v="0.92924780569078747"/>
    <n v="0.56621567916869808"/>
  </r>
  <r>
    <s v="IBE.MC"/>
    <x v="4"/>
    <n v="0.165444026636309"/>
    <n v="1.23853755618253"/>
    <n v="372"/>
    <n v="0.58354207901157695"/>
    <n v="0.13770863278314699"/>
    <n v="1.49217112907209"/>
    <n v="0.186"/>
    <n v="1.0410537885764799"/>
    <n v="0.12618141962937601"/>
    <n v="0.61336509154198482"/>
    <n v="0.24068661773520786"/>
    <n v="0.61427939814170152"/>
    <n v="8.7127115712187161E-2"/>
    <n v="0.91287288428781288"/>
    <n v="0.56173739992903238"/>
  </r>
  <r>
    <s v="ITX.MC"/>
    <x v="0"/>
    <n v="0.15327590147613401"/>
    <n v="1.2016279771984599"/>
    <n v="439"/>
    <n v="0.42914661701653301"/>
    <n v="0.199886058633132"/>
    <n v="1.49706256232479"/>
    <n v="0.2195"/>
    <n v="0.84513485947715505"/>
    <n v="0.158898017401953"/>
    <n v="0.57225201621821342"/>
    <n v="0.23095228956434127"/>
    <n v="0.56091634006351032"/>
    <n v="0.18580562375284054"/>
    <n v="0.81419437624715951"/>
    <n v="0.51484986738143013"/>
  </r>
  <r>
    <s v="ITX.MC"/>
    <x v="1"/>
    <n v="0.15160210441039201"/>
    <n v="1.15745130576521"/>
    <n v="441"/>
    <n v="0.36076563310079801"/>
    <n v="0.20202214146564401"/>
    <n v="1.4434927181498201"/>
    <n v="0.2205"/>
    <n v="0.78277665047313205"/>
    <n v="0.16581121309124799"/>
    <n v="0.56659667129574476"/>
    <n v="0.21930137863378316"/>
    <n v="0.53728210645982866"/>
    <n v="0.18919568797763009"/>
    <n v="0.81080431202236991"/>
    <n v="0.50245524219170656"/>
  </r>
  <r>
    <s v="ITX.MC"/>
    <x v="2"/>
    <n v="0.19951279700049099"/>
    <n v="1.32190067053723"/>
    <n v="343"/>
    <n v="0.70565496971862995"/>
    <n v="0.12530014649319701"/>
    <n v="1.5695472341377901"/>
    <n v="0.17149999999999899"/>
    <n v="1.1021496581475601"/>
    <n v="0.12000713731541"/>
    <n v="0.72847501223503808"/>
    <n v="0.26267234433545861"/>
    <n v="0.65648476606310757"/>
    <n v="6.7434262600361825E-2"/>
    <n v="0.93256573739963822"/>
    <n v="0.60795528304650515"/>
  </r>
  <r>
    <s v="ITX.MC"/>
    <x v="3"/>
    <n v="0.27987530963716301"/>
    <n v="1.375195576808"/>
    <n v="391"/>
    <n v="0.70585099093812498"/>
    <n v="0.14610625339789499"/>
    <n v="1.6730120076867301"/>
    <n v="0.19550000000000001"/>
    <n v="1.09815669419783"/>
    <n v="0.13825594523662399"/>
    <n v="1"/>
    <n v="0.27672804807835838"/>
    <n v="0.65655251605773368"/>
    <n v="0.100454535785094"/>
    <n v="0.899545464214906"/>
    <n v="0.65989326208380883"/>
  </r>
  <r>
    <s v="ITX.MC"/>
    <x v="4"/>
    <n v="0.20636161103122899"/>
    <n v="1.1247562447819599"/>
    <n v="423"/>
    <n v="0.31604935208295898"/>
    <n v="0.21709316432690601"/>
    <n v="1.39015955833264"/>
    <n v="0.21149999999999999"/>
    <n v="0.74812295679664298"/>
    <n v="0.18992130615508601"/>
    <n v="0.75161545527106166"/>
    <n v="0.21067856412498551"/>
    <n v="0.52182700518831415"/>
    <n v="0.21311411223314744"/>
    <n v="0.78688588776685253"/>
    <n v="0.52745193940157276"/>
  </r>
  <r>
    <s v="IDR.MC"/>
    <x v="0"/>
    <n v="4.6605571392333699E-2"/>
    <n v="1.0518766468527501"/>
    <n v="334"/>
    <n v="0.18069602175892399"/>
    <n v="0.31948394826545001"/>
    <n v="1.24356782817862"/>
    <n v="0.16700000000000001"/>
    <n v="0.46516846232443698"/>
    <n v="0.30526829553904"/>
    <n v="0.21183944174040559"/>
    <n v="0.19145770215010571"/>
    <n v="0.47504539947382801"/>
    <n v="0.37561311662335339"/>
    <n v="0.62438688337664661"/>
    <n v="0.36719619551059057"/>
  </r>
  <r>
    <s v="IDR.MC"/>
    <x v="1"/>
    <n v="4.6200258010976901E-2"/>
    <n v="0.97952076697149004"/>
    <n v="338"/>
    <n v="5.9240767247160903E-2"/>
    <n v="0.32526492147821501"/>
    <n v="1.16036009025108"/>
    <n v="0.16900000000000001"/>
    <n v="0.34852564078114401"/>
    <n v="0.31117003049931102"/>
    <n v="0.21046998840572154"/>
    <n v="0.17237496267589028"/>
    <n v="0.43306732760134803"/>
    <n v="0.38478779382911243"/>
    <n v="0.61521220617088757"/>
    <n v="0.3467691259984933"/>
  </r>
  <r>
    <s v="IDR.MC"/>
    <x v="2"/>
    <n v="0.182838304473219"/>
    <n v="1.28069303280152"/>
    <n v="383"/>
    <n v="0.474578138569201"/>
    <n v="0.32000462505966798"/>
    <n v="1.5517142645661699"/>
    <n v="0.1915"/>
    <n v="0.761371297667781"/>
    <n v="0.28246036745137199"/>
    <n v="0.67213603985964709"/>
    <n v="0.25180446992706423"/>
    <n v="0.57661864693101028"/>
    <n v="0.37643945525867711"/>
    <n v="0.62356054474132283"/>
    <n v="0.50766625197761628"/>
  </r>
  <r>
    <s v="IDR.MC"/>
    <x v="3"/>
    <n v="0.193515521898109"/>
    <n v="1.6396157302099901"/>
    <n v="363"/>
    <n v="0.81013505773153005"/>
    <n v="0.307826449413244"/>
    <n v="1.9670172805855899"/>
    <n v="0.18149999999999999"/>
    <n v="1.0704543841318099"/>
    <n v="0.276920535105107"/>
    <n v="0.70821170792349175"/>
    <n v="0.34646475651702002"/>
    <n v="0.69259578210337092"/>
    <n v="0.35711211600301979"/>
    <n v="0.64288788399698027"/>
    <n v="0.58193807997021163"/>
  </r>
  <r>
    <s v="IDR.MC"/>
    <x v="4"/>
    <n v="3.9044140882677401E-2"/>
    <n v="1.06310829355501"/>
    <n v="324"/>
    <n v="0.198610097396649"/>
    <n v="0.32526492147821501"/>
    <n v="1.2506018156879799"/>
    <n v="0.16200000000000001"/>
    <n v="0.47317874579788"/>
    <n v="0.31117003049931102"/>
    <n v="0.18629124446212475"/>
    <n v="0.19441987451588147"/>
    <n v="0.48123696654659415"/>
    <n v="0.38478779382911243"/>
    <n v="0.61521220617088757"/>
    <n v="0.36299774244534511"/>
  </r>
  <r>
    <s v="COL.MC"/>
    <x v="0"/>
    <n v="8.8593549877104202E-2"/>
    <n v="1.02392952273893"/>
    <n v="427"/>
    <n v="0.13882498361530399"/>
    <n v="0.29764981815698099"/>
    <n v="1.26800529285424"/>
    <n v="0.2135"/>
    <n v="0.47039619019858298"/>
    <n v="0.27214005938564301"/>
    <n v="0.35370640147444266"/>
    <n v="0.18408708224481565"/>
    <n v="0.46057368760237499"/>
    <n v="0.34096132211729713"/>
    <n v="0.65903867788270287"/>
    <n v="0.3959472468255863"/>
  </r>
  <r>
    <s v="COL.MC"/>
    <x v="1"/>
    <n v="8.7765129077431198E-2"/>
    <n v="0.999444642168966"/>
    <n v="419"/>
    <n v="0.103002866982564"/>
    <n v="0.29238938894059902"/>
    <n v="1.2327480659057899"/>
    <n v="0.20949999999999999"/>
    <n v="0.42326303354979999"/>
    <n v="0.26743162359637401"/>
    <n v="0.35090737316988452"/>
    <n v="0.17762957529803169"/>
    <n v="0.44819263918517471"/>
    <n v="0.33261277279043294"/>
    <n v="0.66738722720956711"/>
    <n v="0.39140558442085227"/>
  </r>
  <r>
    <s v="COL.MC"/>
    <x v="2"/>
    <n v="9.0016883198515696E-2"/>
    <n v="1.0114623370308"/>
    <n v="361"/>
    <n v="0.12582211039864499"/>
    <n v="0.32785511768009901"/>
    <n v="1.2122974868818399"/>
    <n v="0.18049999999999999"/>
    <n v="0.38851764194376598"/>
    <n v="0.29188550133207197"/>
    <n v="0.35851549155888279"/>
    <n v="0.1807990556568545"/>
    <n v="0.4560795588910907"/>
    <n v="0.38889855739386914"/>
    <n v="0.61110144260613086"/>
    <n v="0.38498697119738629"/>
  </r>
  <r>
    <s v="COL.MC"/>
    <x v="3"/>
    <n v="0.140730486376277"/>
    <n v="1.2210772785959401"/>
    <n v="349"/>
    <n v="0.39443523549461201"/>
    <n v="0.27439724875001298"/>
    <n v="1.4545836217102599"/>
    <n v="0.17449999999999999"/>
    <n v="0.64376215162787997"/>
    <n v="0.22466457015999999"/>
    <n v="0.52986417181499357"/>
    <n v="0.23608174071789892"/>
    <n v="0.54891919037922765"/>
    <n v="0.30405839752972513"/>
    <n v="0.69594160247027492"/>
    <n v="0.48066143418619162"/>
  </r>
  <r>
    <s v="COL.MC"/>
    <x v="4"/>
    <n v="8.6530297071476095E-2"/>
    <n v="1.15150593139359"/>
    <n v="449"/>
    <n v="0.32032056477039"/>
    <n v="0.30618838765168799"/>
    <n v="1.44168649706228"/>
    <n v="0.22450000000000001"/>
    <n v="0.66842516764049797"/>
    <n v="0.272688147407458"/>
    <n v="0.3467351822526516"/>
    <n v="0.21773337848788643"/>
    <n v="0.52330324657364069"/>
    <n v="0.3545124347119547"/>
    <n v="0.6454875652880453"/>
    <n v="0.42075553702659751"/>
  </r>
  <r>
    <s v="LOG.MC"/>
    <x v="0"/>
    <n v="5.4839599639896597E-2"/>
    <n v="1.04542674821412"/>
    <n v="292"/>
    <n v="0.19021010922405501"/>
    <n v="0.15155504067366299"/>
    <n v="1.20989368542336"/>
    <n v="0.14599999999999999"/>
    <n v="0.64961676404595403"/>
    <n v="0.113714951325187"/>
    <n v="0.23966017986595325"/>
    <n v="0.18975664156514621"/>
    <n v="0.47833371375070144"/>
    <n v="0.1091020182379851"/>
    <n v="0.89089798176201485"/>
    <n v="0.42653873892034794"/>
  </r>
  <r>
    <s v="LOG.MC"/>
    <x v="1"/>
    <n v="5.8328472883923399E-2"/>
    <n v="1.08003884184191"/>
    <n v="308"/>
    <n v="0.28853304691322201"/>
    <n v="0.13931713391787801"/>
    <n v="1.2599913976769199"/>
    <n v="0.154"/>
    <n v="0.76432058733031005"/>
    <n v="0.100039663910997"/>
    <n v="0.25144821677292262"/>
    <n v="0.19888504365824738"/>
    <n v="0.51231665966457696"/>
    <n v="8.9679882893959978E-2"/>
    <n v="0.91032011710603999"/>
    <n v="0.44571417777263977"/>
  </r>
  <r>
    <s v="LOG.MC"/>
    <x v="2"/>
    <n v="5.0329743989134999E-2"/>
    <n v="1.2003956437637"/>
    <n v="347"/>
    <n v="0.63139895955421199"/>
    <n v="0.105504593067742"/>
    <n v="1.42791503165667"/>
    <n v="0.17349999999999999"/>
    <n v="1.18840661865935"/>
    <n v="7.6706017303024704E-2"/>
    <n v="0.22442249676946938"/>
    <n v="0.23062728076174666"/>
    <n v="0.63081997169767601"/>
    <n v="3.6017785459994373E-2"/>
    <n v="0.96398221454000566"/>
    <n v="0.4961151179997218"/>
  </r>
  <r>
    <s v="LOG.MC"/>
    <x v="3"/>
    <n v="5.93027917711135E-2"/>
    <n v="0.95812922614204898"/>
    <n v="60"/>
    <n v="-0.32951038938202898"/>
    <n v="8.2809750703517704E-2"/>
    <n v="0.98732657282681702"/>
    <n v="0.03"/>
    <n v="-8.5109377257976196E-2"/>
    <n v="6.8656623317054494E-2"/>
    <n v="0.25474019850972485"/>
    <n v="0.16673327603936317"/>
    <n v="0.29870489051214538"/>
    <n v="0"/>
    <n v="1"/>
    <n v="0.39057948966739753"/>
  </r>
  <r>
    <s v="LOG.MC"/>
    <x v="4"/>
    <n v="3.2555954852156198E-2"/>
    <n v="1.1783855097131399"/>
    <n v="309"/>
    <n v="0.55548714614346695"/>
    <n v="9.0517480211927501E-2"/>
    <n v="1.3754376761122"/>
    <n v="0.1545"/>
    <n v="1.0343828143407601"/>
    <n v="8.9110172281775896E-2"/>
    <n v="0.16436927394685563"/>
    <n v="0.22482244977124993"/>
    <n v="0.60458288897831192"/>
    <n v="1.2232530341572205E-2"/>
    <n v="0.98776746965842777"/>
    <n v="0.47924895034592518"/>
  </r>
  <r>
    <s v="MAP.MC"/>
    <x v="0"/>
    <n v="0.107339399564597"/>
    <n v="1.4961183690662101"/>
    <n v="437"/>
    <n v="0.92012221581364095"/>
    <n v="0.162190684062862"/>
    <n v="1.8617055489021399"/>
    <n v="0.2185"/>
    <n v="1.3831354126320099"/>
    <n v="0.139799375719449"/>
    <n v="0.41704397567464974"/>
    <n v="0.30861955634202543"/>
    <n v="0.7306101837493163"/>
    <n v="0.12598128603254996"/>
    <n v="0.87401871396745001"/>
    <n v="0.5699814599558225"/>
  </r>
  <r>
    <s v="MAP.MC"/>
    <x v="1"/>
    <n v="0.10617545038817899"/>
    <n v="1.5080056777555599"/>
    <n v="435"/>
    <n v="0.95282771473579098"/>
    <n v="0.13419187292489199"/>
    <n v="1.8746011010044601"/>
    <n v="0.2175"/>
    <n v="1.4232391402850799"/>
    <n v="0.12145730682100001"/>
    <n v="0.41311128024842786"/>
    <n v="0.31175464937303687"/>
    <n v="0.74191404861624433"/>
    <n v="8.1545851914178916E-2"/>
    <n v="0.91845414808582104"/>
    <n v="0.58241369506363416"/>
  </r>
  <r>
    <s v="MAP.MC"/>
    <x v="2"/>
    <n v="0.15764632794663699"/>
    <n v="1.66684066217779"/>
    <n v="387"/>
    <n v="1.1107605018656601"/>
    <n v="0.126587891765437"/>
    <n v="2.0235388460891701"/>
    <n v="0.19350000000000001"/>
    <n v="1.5127043154508499"/>
    <n v="0.121457306821001"/>
    <n v="0.58701860271478168"/>
    <n v="0.35364490946101496"/>
    <n v="0.79649969759297634"/>
    <n v="6.9477975096720782E-2"/>
    <n v="0.93052202490327918"/>
    <n v="0.64855150763980962"/>
  </r>
  <r>
    <s v="MAP.MC"/>
    <x v="3"/>
    <n v="0.16358158159290401"/>
    <n v="1.54433544748934"/>
    <n v="345"/>
    <n v="0.91594411106571405"/>
    <n v="0.18740627070739699"/>
    <n v="1.8360347961488801"/>
    <n v="0.17249999999999999"/>
    <n v="1.25586201881253"/>
    <n v="0.16839654375266899"/>
    <n v="0.60707235191710796"/>
    <n v="0.32133606185984043"/>
    <n v="0.72916612287188221"/>
    <n v="0.16599961158137352"/>
    <n v="0.83400038841862645"/>
    <n v="0.60336520348666367"/>
  </r>
  <r>
    <s v="MAP.MC"/>
    <x v="4"/>
    <n v="5.5951661408216898E-2"/>
    <n v="1.08451318648246"/>
    <n v="377"/>
    <n v="0.25831030275251798"/>
    <n v="0.17293237442892601"/>
    <n v="1.30982350867841"/>
    <n v="0.1885"/>
    <n v="0.70570424061986403"/>
    <n v="0.14593803107242301"/>
    <n v="0.2434175606163812"/>
    <n v="0.20006508256087124"/>
    <n v="0.50187089894667625"/>
    <n v="0.14302885538216001"/>
    <n v="0.85697114461783996"/>
    <n v="0.43065853549910849"/>
  </r>
  <r>
    <s v="MEL.MC"/>
    <x v="0"/>
    <n v="9.0037633362684194E-2"/>
    <n v="1.0201123847623199"/>
    <n v="335"/>
    <n v="0.133819810087978"/>
    <n v="0.20801027913321901"/>
    <n v="1.2066889320495"/>
    <n v="0.16749999999999901"/>
    <n v="0.39360348329995598"/>
    <n v="0.18572302758349599"/>
    <n v="0.35858560121433181"/>
    <n v="0.18308037139195446"/>
    <n v="0.45884377040028329"/>
    <n v="0.19869914494614468"/>
    <n v="0.80130085505385529"/>
    <n v="0.42455453379130875"/>
  </r>
  <r>
    <s v="MEL.MC"/>
    <x v="1"/>
    <n v="9.1496699424123307E-2"/>
    <n v="1.0436255158596901"/>
    <n v="341"/>
    <n v="0.168935496810105"/>
    <n v="0.19763130254060901"/>
    <n v="1.2382698581748699"/>
    <n v="0.17049999999999901"/>
    <n v="0.43398466298292898"/>
    <n v="0.18552188480456999"/>
    <n v="0.36351542336003384"/>
    <n v="0.18928159450872842"/>
    <n v="0.4709806584007129"/>
    <n v="0.18222721946600892"/>
    <n v="0.81777278053399105"/>
    <n v="0.43433631665163741"/>
  </r>
  <r>
    <s v="MEL.MC"/>
    <x v="2"/>
    <n v="9.2073278459258098E-2"/>
    <n v="0.96789921982590899"/>
    <n v="319"/>
    <n v="2.10879775981174E-2"/>
    <n v="0.26172212290574998"/>
    <n v="1.13559383311861"/>
    <n v="0.159499999999999"/>
    <n v="0.32666830093544802"/>
    <n v="0.19829814742565"/>
    <n v="0.3654635408382455"/>
    <n v="0.16930996012419203"/>
    <n v="0.41988073841291534"/>
    <n v="0.28394237486649837"/>
    <n v="0.71605762513350157"/>
    <n v="0.3930614427554816"/>
  </r>
  <r>
    <s v="MEL.MC"/>
    <x v="3"/>
    <n v="3.27254354035958E-2"/>
    <n v="1.0864381754261201"/>
    <n v="327"/>
    <n v="0.24249942665282201"/>
    <n v="0.24532451252729301"/>
    <n v="1.27971846622505"/>
    <n v="0.16350000000000001"/>
    <n v="0.56001458946447902"/>
    <n v="0.18105475372861499"/>
    <n v="0.16494190667256556"/>
    <n v="0.20057276849548905"/>
    <n v="0.49640625193780075"/>
    <n v="0.25791859363949771"/>
    <n v="0.74208140636050235"/>
    <n v="0.39049836873660049"/>
  </r>
  <r>
    <s v="MEL.MC"/>
    <x v="4"/>
    <n v="9.5545800101572501E-2"/>
    <n v="1.07465474373003"/>
    <n v="357"/>
    <n v="0.214536399900358"/>
    <n v="0.225032549371915"/>
    <n v="1.2852620071994201"/>
    <n v="0.17849999999999999"/>
    <n v="0.499598509830667"/>
    <n v="0.196489369458932"/>
    <n v="0.37719632974077566"/>
    <n v="0.19746507140801381"/>
    <n v="0.48674150790094789"/>
    <n v="0.22571429083964006"/>
    <n v="0.77428570916035988"/>
    <n v="0.4355583815729156"/>
  </r>
  <r>
    <s v="MRL.MC"/>
    <x v="0"/>
    <n v="9.4271664563254698E-2"/>
    <n v="0.939359312125707"/>
    <n v="354"/>
    <n v="-2.88960983223766E-2"/>
    <n v="0.32837068974878098"/>
    <n v="1.12165581523944"/>
    <n v="0.17699999999999999"/>
    <n v="0.29734620899518799"/>
    <n v="0.282716420194218"/>
    <n v="0.37289134194109391"/>
    <n v="0.1617830027552144"/>
    <n v="0.40260495121124446"/>
    <n v="0.38971679458895209"/>
    <n v="0.61028320541104786"/>
    <n v="0.36595129566036599"/>
  </r>
  <r>
    <s v="MRL.MC"/>
    <x v="1"/>
    <n v="9.5334026750550804E-2"/>
    <n v="0.92990164414731402"/>
    <n v="354"/>
    <n v="-4.7309585302034302E-2"/>
    <n v="0.32711358195411"/>
    <n v="1.1103637896949301"/>
    <n v="0.17699999999999999"/>
    <n v="0.27860151626669399"/>
    <n v="0.28137318552835899"/>
    <n v="0.37648080014048702"/>
    <n v="0.15928868972410376"/>
    <n v="0.39624077468415825"/>
    <n v="0.38772170521481653"/>
    <n v="0.61227829478518347"/>
    <n v="0.36441065830761271"/>
  </r>
  <r>
    <s v="MRL.MC"/>
    <x v="2"/>
    <n v="9.8634771559257095E-2"/>
    <n v="1.0100772324187299"/>
    <n v="357"/>
    <n v="0.106161398411611"/>
    <n v="0.23241381671195099"/>
    <n v="1.2079414485147"/>
    <n v="0.17849999999999999"/>
    <n v="0.42822893305417797"/>
    <n v="0.17223196970141399"/>
    <n v="0.38763319774969585"/>
    <n v="0.18043375582911356"/>
    <n v="0.44928430919873663"/>
    <n v="0.23742871031916779"/>
    <n v="0.76257128968083221"/>
    <n v="0.41895631699446068"/>
  </r>
  <r>
    <s v="MRL.MC"/>
    <x v="3"/>
    <n v="0.122450900681011"/>
    <n v="1.0204647319792"/>
    <n v="323"/>
    <n v="0.136075608719363"/>
    <n v="0.389441021033962"/>
    <n v="1.2001154714890201"/>
    <n v="0.16149999999999901"/>
    <n v="0.37873877399640898"/>
    <n v="0.35920557358859501"/>
    <n v="0.46810198793834445"/>
    <n v="0.1831732974976866"/>
    <n v="0.45962343265086919"/>
    <n v="0.48663829132813491"/>
    <n v="0.51336170867186515"/>
    <n v="0.38913175836660863"/>
  </r>
  <r>
    <s v="MRL.MC"/>
    <x v="4"/>
    <n v="8.5048808463295697E-2"/>
    <n v="0.77951726770799201"/>
    <n v="344"/>
    <n v="-0.35025704524531298"/>
    <n v="0.28850127421164201"/>
    <n v="0.92623586898661403"/>
    <n v="0.17199999999999999"/>
    <n v="-4.66763407396103E-2"/>
    <n v="0.24262349459083801"/>
    <n v="0.34172959988579876"/>
    <n v="0.11962714623526313"/>
    <n v="0.29153431057763796"/>
    <n v="0.32644215129397453"/>
    <n v="0.67355784870602542"/>
    <n v="0.32640592676223523"/>
  </r>
  <r>
    <s v="NTGY.MC"/>
    <x v="0"/>
    <n v="0.166132785917327"/>
    <n v="1.3146359473834699"/>
    <n v="335"/>
    <n v="0.72605012310412897"/>
    <n v="0.180290849413791"/>
    <n v="1.5544802905098201"/>
    <n v="0.16749999999999901"/>
    <n v="1.1337322897686799"/>
    <n v="0.16826764726481899"/>
    <n v="0.61569223823284225"/>
    <n v="0.2607563864406337"/>
    <n v="0.66353385766567641"/>
    <n v="0.15470710231880322"/>
    <n v="0.84529289768119675"/>
    <n v="0.56948410041470088"/>
  </r>
  <r>
    <s v="NTGY.MC"/>
    <x v="1"/>
    <n v="0.166355851035798"/>
    <n v="1.32277481930385"/>
    <n v="337"/>
    <n v="0.740735231661939"/>
    <n v="0.17593954489313801"/>
    <n v="1.56566371498402"/>
    <n v="0.16849999999999901"/>
    <n v="1.15069498621029"/>
    <n v="0.16701254565681101"/>
    <n v="0.61644591991322295"/>
    <n v="0.26290288749521967"/>
    <n v="0.66860941034532784"/>
    <n v="0.14780137677196969"/>
    <n v="0.85219862322803031"/>
    <n v="0.57318259798041493"/>
  </r>
  <r>
    <s v="NTGY.MC"/>
    <x v="2"/>
    <n v="9.8504408718683198E-2"/>
    <n v="1.03509855712447"/>
    <n v="319"/>
    <n v="0.14823244109292399"/>
    <n v="0.26265589656447802"/>
    <n v="1.2144680631184701"/>
    <n v="0.1595"/>
    <n v="0.46490870070183998"/>
    <n v="0.19930562199725299"/>
    <n v="0.38719273406170907"/>
    <n v="0.18703274158456221"/>
    <n v="0.46382514780243228"/>
    <n v="0.28542431771362203"/>
    <n v="0.71457568228637802"/>
    <n v="0.41561105008571575"/>
  </r>
  <r>
    <s v="NTGY.MC"/>
    <x v="3"/>
    <n v="0.14165584317885099"/>
    <n v="1.27998952847063"/>
    <n v="217"/>
    <n v="0.88651994016828495"/>
    <n v="8.4608922988175406E-2"/>
    <n v="1.4267180424816599"/>
    <n v="0.1085"/>
    <n v="1.2586344303030801"/>
    <n v="8.1373530506827496E-2"/>
    <n v="0.53299072281810977"/>
    <n v="0.25161893158674709"/>
    <n v="0.718996369692527"/>
    <n v="2.8553712916077334E-3"/>
    <n v="0.99714462870839227"/>
    <n v="0.5972116606890826"/>
  </r>
  <r>
    <s v="NTGY.MC"/>
    <x v="4"/>
    <n v="4.9917976385949102E-2"/>
    <n v="1.5603903018745999"/>
    <n v="349"/>
    <n v="1.14020895339769"/>
    <n v="0.147499068931429"/>
    <n v="1.85803943926772"/>
    <n v="0.17449999999999999"/>
    <n v="1.5674117316593701"/>
    <n v="0.14019441830855101"/>
    <n v="0.22303123622087825"/>
    <n v="0.32557028033708302"/>
    <n v="0.8066778427865634"/>
    <n v="0.10266499974281051"/>
    <n v="0.89733500025718949"/>
    <n v="0.56374768423270749"/>
  </r>
  <r>
    <s v="RED.MC"/>
    <x v="0"/>
    <n v="2.7349616508763101E-2"/>
    <n v="0.87193711502008897"/>
    <n v="400"/>
    <n v="-0.28708105656704902"/>
    <n v="0.24902847863114"/>
    <n v="1.06512334400868"/>
    <n v="0.2"/>
    <n v="0.22338298908089299"/>
    <n v="0.17902974817744999"/>
    <n v="0.14677834866828279"/>
    <n v="0.14400144548223129"/>
    <n v="0.31336956343690636"/>
    <n v="0.26379696258070501"/>
    <n v="0.73620303741929494"/>
    <n v="0.31380757989325681"/>
  </r>
  <r>
    <s v="RED.MC"/>
    <x v="1"/>
    <n v="2.7968731803445002E-2"/>
    <n v="0.906383045091252"/>
    <n v="396"/>
    <n v="-0.16624492220797099"/>
    <n v="0.25777542487316002"/>
    <n v="1.10498994870709"/>
    <n v="0.19800000000000001"/>
    <n v="0.30411992365134599"/>
    <n v="0.197871905011928"/>
    <n v="0.14887018561187895"/>
    <n v="0.15308602451815415"/>
    <n v="0.35513365139924935"/>
    <n v="0.27767877890351028"/>
    <n v="0.72232122109648977"/>
    <n v="0.32670418411689484"/>
  </r>
  <r>
    <s v="RED.MC"/>
    <x v="2"/>
    <n v="8.4411611369669001E-2"/>
    <n v="1.01829739643913"/>
    <n v="338"/>
    <n v="0.108003760218182"/>
    <n v="0.209276894499905"/>
    <n v="1.2059299110656501"/>
    <n v="0.16900000000000001"/>
    <n v="0.55675358706149503"/>
    <n v="0.187617212965173"/>
    <n v="0.33957666903067379"/>
    <n v="0.18260169641243637"/>
    <n v="0.44992107700793715"/>
    <n v="0.20070932328558727"/>
    <n v="0.79929067671441278"/>
    <n v="0.4175303011751294"/>
  </r>
  <r>
    <s v="RED.MC"/>
    <x v="3"/>
    <n v="9.5190896257882907E-2"/>
    <n v="0.91459474375156102"/>
    <n v="352"/>
    <n v="-0.18709662950672101"/>
    <n v="0.236189189829492"/>
    <n v="1.0908125802244399"/>
    <n v="0.17599999999999999"/>
    <n v="0.29731227829121598"/>
    <n v="0.18561278176922799"/>
    <n v="0.37599719772444323"/>
    <n v="0.15525173249423843"/>
    <n v="0.34792676297626984"/>
    <n v="0.24342040555972952"/>
    <n v="0.75657959444027045"/>
    <n v="0.37746890707409519"/>
  </r>
  <r>
    <s v="RED.MC"/>
    <x v="4"/>
    <n v="4.3568871290375601E-2"/>
    <n v="0.88483255129003502"/>
    <n v="358"/>
    <n v="-0.19897154044932999"/>
    <n v="0.33480129901501599"/>
    <n v="1.0585062282768001"/>
    <n v="0.17899999999999999"/>
    <n v="0.19758186252597101"/>
    <n v="0.28458596405593201"/>
    <n v="0.20157918567103816"/>
    <n v="0.14740241650420713"/>
    <n v="0.34382248715031244"/>
    <n v="0.39992247485811405"/>
    <n v="0.60007752514188595"/>
    <n v="0.30769881325894072"/>
  </r>
  <r>
    <s v="REP.MC"/>
    <x v="0"/>
    <n v="8.8893317925554202E-2"/>
    <n v="0.78850684852433595"/>
    <n v="473"/>
    <n v="-0.30535433291783998"/>
    <n v="0.33539761531482098"/>
    <n v="0.99933691479947395"/>
    <n v="0.23649999999999999"/>
    <n v="9.2896588826241702E-2"/>
    <n v="0.26896761630157701"/>
    <n v="0.35471924332093524"/>
    <n v="0.12199800854779685"/>
    <n v="0.30705384732332397"/>
    <n v="0.40086885695709401"/>
    <n v="0.59913114304290604"/>
    <n v="0.31948563403410452"/>
  </r>
  <r>
    <s v="REP.MC"/>
    <x v="1"/>
    <n v="8.9125409329862099E-2"/>
    <n v="0.78869859309978596"/>
    <n v="473"/>
    <n v="-0.304074176065316"/>
    <n v="0.32281307998554998"/>
    <n v="0.99958422387771295"/>
    <n v="0.23649999999999999"/>
    <n v="9.3477416431763896E-2"/>
    <n v="0.25587058593009299"/>
    <n v="0.35550342258123252"/>
    <n v="0.12204857820136075"/>
    <n v="0.3074963025845584"/>
    <n v="0.38089660571476225"/>
    <n v="0.61910339428523775"/>
    <n v="0.32378482760906979"/>
  </r>
  <r>
    <s v="REP.MC"/>
    <x v="2"/>
    <n v="0.17317937415333001"/>
    <n v="1.43694651686187"/>
    <n v="397"/>
    <n v="0.72004832275222197"/>
    <n v="0.15543460157886399"/>
    <n v="1.75329443820632"/>
    <n v="0.19850000000000001"/>
    <n v="1.07048617071049"/>
    <n v="0.12448118586300801"/>
    <n v="0.63950091122961383"/>
    <n v="0.29301389939092182"/>
    <n v="0.6614594805006091"/>
    <n v="0.11525906441261656"/>
    <n v="0.88474093558738343"/>
    <n v="0.59119038333085872"/>
  </r>
  <r>
    <s v="REP.MC"/>
    <x v="3"/>
    <n v="0.17640690393397199"/>
    <n v="1.23300991156552"/>
    <n v="377"/>
    <n v="0.43361904977392501"/>
    <n v="0.212333384753324"/>
    <n v="1.4896978210910401"/>
    <n v="0.1885"/>
    <n v="0.73856032515630099"/>
    <n v="0.19226496501341001"/>
    <n v="0.65040593342773689"/>
    <n v="0.23922878732383623"/>
    <n v="0.56246212830041564"/>
    <n v="0.2055601175075269"/>
    <n v="0.7944398824924731"/>
    <n v="0.5294764378713176"/>
  </r>
  <r>
    <s v="REP.MC"/>
    <x v="4"/>
    <n v="8.6294876763085102E-2"/>
    <n v="0.65339583065304396"/>
    <n v="465"/>
    <n v="-0.59933166281184003"/>
    <n v="0.43995726551949599"/>
    <n v="0.82485646796588696"/>
    <n v="0.23249999999999901"/>
    <n v="-0.21945171869667399"/>
    <n v="0.35149262287265598"/>
    <n v="0.34593975545154482"/>
    <n v="8.636457615273728E-2"/>
    <n v="0.20544769176605332"/>
    <n v="0.56680995442779958"/>
    <n v="0.43319004557220042"/>
    <n v="0.24336964058038624"/>
  </r>
  <r>
    <s v="ROVI.MC"/>
    <x v="0"/>
    <n v="9.8009946906837994E-2"/>
    <n v="0.50232701893959397"/>
    <n v="311"/>
    <n v="-1.05530916584889"/>
    <n v="0.51883210121809498"/>
    <n v="0.58711026247893905"/>
    <n v="0.1555"/>
    <n v="-0.79711211601457899"/>
    <n v="0.44519813442640699"/>
    <n v="0.38552207030311669"/>
    <n v="4.6522523491116484E-2"/>
    <n v="4.7850093608046776E-2"/>
    <n v="0.69198803959761679"/>
    <n v="0.30801196040238321"/>
    <n v="0.16701859127084895"/>
  </r>
  <r>
    <s v="ROVI.MC"/>
    <x v="1"/>
    <n v="9.8041258806855699E-2"/>
    <n v="0.55489845297168805"/>
    <n v="339"/>
    <n v="-0.77702070357708197"/>
    <n v="0.47041562100352802"/>
    <n v="0.65769881482454495"/>
    <n v="0.16949999999999901"/>
    <n v="-0.52350238478744504"/>
    <n v="0.38225207602723099"/>
    <n v="0.38562786544304273"/>
    <n v="6.0387422668165699E-2"/>
    <n v="0.14403377143646448"/>
    <n v="0.61514880145224349"/>
    <n v="0.38485119854775651"/>
    <n v="0.21542217102954891"/>
  </r>
  <r>
    <s v="ROVI.MC"/>
    <x v="2"/>
    <n v="5.0390524858214603E-2"/>
    <n v="0.65966263853200502"/>
    <n v="235"/>
    <n v="-0.316376484106272"/>
    <n v="0.47968550322334003"/>
    <n v="0.74229719691962304"/>
    <n v="0.11749999999999999"/>
    <n v="-0.18591141666753699"/>
    <n v="0.46953077566583801"/>
    <n v="0.22462786024295606"/>
    <n v="8.8017349393632482E-2"/>
    <n v="0.30324430728623541"/>
    <n v="0.62986054184128137"/>
    <n v="0.37013945815871863"/>
    <n v="0.23633196068429529"/>
  </r>
  <r>
    <s v="ROVI.MC"/>
    <x v="3"/>
    <n v="-1.6091972409952401E-2"/>
    <n v="0.42254236320538102"/>
    <n v="181"/>
    <n v="-0.81441626827325297"/>
    <n v="0.59973043637457402"/>
    <n v="0.462900949441368"/>
    <n v="9.0499999999999997E-2"/>
    <n v="-0.71509379785972005"/>
    <n v="0.56467860889004995"/>
    <n v="0"/>
    <n v="2.5480559770759872E-2"/>
    <n v="0.13110889874290962"/>
    <n v="0.8203775138655679"/>
    <n v="0.1796224861344321"/>
    <n v="8.2901334780987268E-2"/>
  </r>
  <r>
    <s v="ROVI.MC"/>
    <x v="4"/>
    <n v="9.2738435444331496E-2"/>
    <n v="0.42664722277522799"/>
    <n v="335"/>
    <n v="-1.19375395471941"/>
    <n v="0.59806789668970095"/>
    <n v="0.50472893626024795"/>
    <n v="0.16749999999999901"/>
    <n v="-0.94056917844479004"/>
    <n v="0.52834209894089501"/>
    <n v="0.3677109412281559"/>
    <n v="2.656315272489403E-2"/>
    <n v="0"/>
    <n v="0.81773898495545394"/>
    <n v="0.18226101504454606"/>
    <n v="0.11796333707200859"/>
  </r>
  <r>
    <s v="SCYR.MC"/>
    <x v="0"/>
    <n v="9.0465649254023506E-2"/>
    <n v="1.1960843072173999"/>
    <n v="337"/>
    <n v="0.42107631969416798"/>
    <n v="0.26696985252716499"/>
    <n v="1.41605342755257"/>
    <n v="0.16849999999999901"/>
    <n v="0.740698837996006"/>
    <n v="0.23393142785750801"/>
    <n v="0.36003176069648424"/>
    <n v="0.2294902327121103"/>
    <n v="0.55812703693790766"/>
    <n v="0.29227076933704721"/>
    <n v="0.70772923066295279"/>
    <n v="0.44983737916689281"/>
  </r>
  <r>
    <s v="SCYR.MC"/>
    <x v="1"/>
    <n v="9.0497533084619095E-2"/>
    <n v="1.1480296233923"/>
    <n v="343"/>
    <n v="0.34504231133033503"/>
    <n v="0.28504518886623098"/>
    <n v="1.3632237479149101"/>
    <n v="0.17149999999999899"/>
    <n v="0.67176558993876501"/>
    <n v="0.23583492800061401"/>
    <n v="0.36013948824790498"/>
    <n v="0.21681655624718377"/>
    <n v="0.53184772048774454"/>
    <n v="0.32095718081016655"/>
    <n v="0.67904281918983345"/>
    <n v="0.43243574450802613"/>
  </r>
  <r>
    <s v="SCYR.MC"/>
    <x v="2"/>
    <n v="9.8158233588757998E-2"/>
    <n v="1.3224382813703299"/>
    <n v="377"/>
    <n v="0.61073885854217602"/>
    <n v="0.23381546147993801"/>
    <n v="1.59736733975928"/>
    <n v="0.1885"/>
    <n v="0.97083158153030102"/>
    <n v="0.192361039818918"/>
    <n v="0.38602309420310438"/>
    <n v="0.26281413084242111"/>
    <n v="0.62367930735456234"/>
    <n v="0.23965318668847987"/>
    <n v="0.7603468133115201"/>
    <n v="0.49522201296201995"/>
  </r>
  <r>
    <s v="SCYR.MC"/>
    <x v="3"/>
    <n v="7.7559151930938403E-2"/>
    <n v="1.3479537212974499"/>
    <n v="145"/>
    <n v="0.55153653517723999"/>
    <n v="0.21278026805152001"/>
    <n v="1.4499129959616299"/>
    <n v="7.2499999999999995E-2"/>
    <n v="0.66159612662781997"/>
    <n v="0.205616796314391"/>
    <n v="0.31642390906567286"/>
    <n v="0.2695434318128227"/>
    <n v="0.60321745582560782"/>
    <n v="0.20626934238345954"/>
    <n v="0.79373065761654049"/>
    <n v="0.48385917962797176"/>
  </r>
  <r>
    <s v="SCYR.MC"/>
    <x v="4"/>
    <n v="7.5443872723027994E-2"/>
    <n v="1.4104508597754499"/>
    <n v="379"/>
    <n v="0.72172293865767401"/>
    <n v="0.287392920454829"/>
    <n v="1.7051160067532201"/>
    <n v="0.1895"/>
    <n v="1.0756343132486601"/>
    <n v="0.25109045215273701"/>
    <n v="0.30927690554123033"/>
    <n v="0.28602608136966301"/>
    <n v="0.66203827099526869"/>
    <n v="0.32468314159538331"/>
    <n v="0.67531685840461675"/>
    <n v="0.48133805849864891"/>
  </r>
  <r>
    <s v="SAN.MC"/>
    <x v="0"/>
    <n v="7.9253542937640198E-2"/>
    <n v="1.32431866944031"/>
    <n v="403"/>
    <n v="0.53718826712807199"/>
    <n v="0.28090916402500499"/>
    <n v="1.62063919978894"/>
    <n v="0.20150000000000001"/>
    <n v="0.85284730234494399"/>
    <n v="0.246237484177697"/>
    <n v="0.322148835804136"/>
    <n v="0.26331005398935453"/>
    <n v="0.59825832392279454"/>
    <n v="0.31439311427039102"/>
    <n v="0.68560688572960893"/>
    <n v="0.46002165768039371"/>
  </r>
  <r>
    <s v="SAN.MC"/>
    <x v="1"/>
    <n v="7.9546043947576098E-2"/>
    <n v="1.2550207935786899"/>
    <n v="409"/>
    <n v="0.45774957683718698"/>
    <n v="0.27627053685640302"/>
    <n v="1.5404364539550901"/>
    <n v="0.20449999999999999"/>
    <n v="0.78263292535643003"/>
    <n v="0.23672508665960701"/>
    <n v="0.32313712413084822"/>
    <n v="0.24503381557785381"/>
    <n v="0.57080226149147761"/>
    <n v="0.307031394126832"/>
    <n v="0.692968605873168"/>
    <n v="0.44797196912160264"/>
  </r>
  <r>
    <s v="SAN.MC"/>
    <x v="2"/>
    <n v="0.19042969580191799"/>
    <n v="1.11891162642154"/>
    <n v="391"/>
    <n v="0.279427260357832"/>
    <n v="0.17865926675615201"/>
    <n v="1.3610854750571999"/>
    <n v="0.19550000000000001"/>
    <n v="0.59882173155431095"/>
    <n v="0.16141998972615501"/>
    <n v="0.69778546731051827"/>
    <n v="0.20913713681208243"/>
    <n v="0.50916946472423286"/>
    <n v="0.15211770367130584"/>
    <n v="0.84788229632869416"/>
    <n v="0.52462553318873706"/>
  </r>
  <r>
    <s v="SAN.MC"/>
    <x v="3"/>
    <n v="0.12787391108148"/>
    <n v="1.20153073868231"/>
    <n v="359"/>
    <n v="0.41693424744534102"/>
    <n v="0.163269573895194"/>
    <n v="1.4382341135322401"/>
    <n v="0.17949999999999999"/>
    <n v="0.74163943232159502"/>
    <n v="0.14191991329645601"/>
    <n v="0.48642499432932013"/>
    <n v="0.23092664441603275"/>
    <n v="0.55669542982250353"/>
    <n v="0.12769353509303077"/>
    <n v="0.87230646490696917"/>
    <n v="0.50803291411881868"/>
  </r>
  <r>
    <s v="SAN.MC"/>
    <x v="4"/>
    <n v="8.5839447847029002E-2"/>
    <n v="1.66400667789245"/>
    <n v="431"/>
    <n v="0.90034417980319204"/>
    <n v="0.25174787729526299"/>
    <n v="2.0647551823246899"/>
    <n v="0.2155"/>
    <n v="1.24297044009712"/>
    <n v="0.219822574389617"/>
    <n v="0.34440097416157917"/>
    <n v="0.35289749012370725"/>
    <n v="0.72377438384522308"/>
    <n v="0.26811277654815419"/>
    <n v="0.73188722345184587"/>
    <n v="0.53825920171336405"/>
  </r>
  <r>
    <s v="SLR.MC"/>
    <x v="0"/>
    <n v="5.4111720089483797E-2"/>
    <n v="0.47281744226733902"/>
    <n v="291"/>
    <n v="-0.78818545260601303"/>
    <n v="0.58199486730086103"/>
    <n v="0.54715566541906702"/>
    <n v="0.14549999999999999"/>
    <n v="-0.61092904730509401"/>
    <n v="0.54314465056858696"/>
    <n v="0.23720085549273781"/>
    <n v="3.8739830991831786E-2"/>
    <n v="0.14017494590389537"/>
    <n v="0.79223032907106627"/>
    <n v="0.20776967092893373"/>
    <n v="0.14266853835305243"/>
  </r>
  <r>
    <s v="SLR.MC"/>
    <x v="1"/>
    <n v="4.7617762246279401E-2"/>
    <n v="0.40723571790810797"/>
    <n v="277"/>
    <n v="-0.82521991744867695"/>
    <n v="0.65408169307242803"/>
    <n v="0.46801479847265798"/>
    <n v="0.13850000000000001"/>
    <n v="-0.67641470982129803"/>
    <n v="0.61521511568847598"/>
    <n v="0.21525938345472176"/>
    <n v="2.1443669819156401E-2"/>
    <n v="0.12737487864312808"/>
    <n v="0.90663552226267963"/>
    <n v="9.3364477737320373E-2"/>
    <n v="0.10637033677709376"/>
  </r>
  <r>
    <s v="SLR.MC"/>
    <x v="2"/>
    <n v="6.2293093644891599E-2"/>
    <n v="0.409630056905401"/>
    <n v="217"/>
    <n v="-0.61946327609399598"/>
    <n v="0.65481012402646499"/>
    <n v="0.45691727845070301"/>
    <n v="0.1085"/>
    <n v="-0.52340946417517498"/>
    <n v="0.62193026059583401"/>
    <n v="0.26484368648006767"/>
    <n v="2.207513954039091E-2"/>
    <n v="0.19848968642767195"/>
    <n v="0.90779157655042753"/>
    <n v="9.2208423449572474E-2"/>
    <n v="0.1375798697763469"/>
  </r>
  <r>
    <s v="SLR.MC"/>
    <x v="3"/>
    <n v="7.07615193071892E-2"/>
    <n v="0.49378365601964502"/>
    <n v="365"/>
    <n v="-0.59661790718725005"/>
    <n v="0.58089095590496098"/>
    <n v="0.59326656631817498"/>
    <n v="0.1825"/>
    <n v="-0.40487592639450298"/>
    <n v="0.50171775450947298"/>
    <n v="0.29345639530289458"/>
    <n v="4.426934421802077E-2"/>
    <n v="0.20638563577770866"/>
    <n v="0.79047836960881201"/>
    <n v="0.20952163039118799"/>
    <n v="0.17579209913753535"/>
  </r>
  <r>
    <s v="SLR.MC"/>
    <x v="4"/>
    <n v="4.6008774456765197E-2"/>
    <n v="0.32592791617739902"/>
    <n v="293"/>
    <n v="-1.04795794649302"/>
    <n v="0.71291074315436898"/>
    <n v="0.37760795631522698"/>
    <n v="0.14649999999999999"/>
    <n v="-0.89297917589670295"/>
    <n v="0.66938143551542795"/>
    <n v="0.20982301299382036"/>
    <n v="0"/>
    <n v="5.0390864822199476E-2"/>
    <n v="1"/>
    <n v="0"/>
    <n v="5.7081862045423919E-2"/>
  </r>
  <r>
    <s v="TEF.MC"/>
    <x v="0"/>
    <n v="9.5541349239110993E-3"/>
    <n v="1.0434748902251201"/>
    <n v="317"/>
    <n v="0.17350510254531201"/>
    <n v="0.157926707826438"/>
    <n v="1.2229753427038099"/>
    <n v="0.158499999999999"/>
    <n v="0.60395553625904796"/>
    <n v="0.129850568247907"/>
    <n v="8.6651832447415131E-2"/>
    <n v="0.18924186933715487"/>
    <n v="0.47256003212770825"/>
    <n v="0.11921415459249499"/>
    <n v="0.88078584540750504"/>
    <n v="0.39202810601044297"/>
  </r>
  <r>
    <s v="TEF.MC"/>
    <x v="1"/>
    <n v="1.01624518050197E-2"/>
    <n v="1.04269198497678"/>
    <n v="319"/>
    <n v="0.1714820582761"/>
    <n v="0.15855850415053399"/>
    <n v="1.2232811946295401"/>
    <n v="0.159499999999999"/>
    <n v="0.60463440345566699"/>
    <n v="0.129850568247907"/>
    <n v="8.870718423123751E-2"/>
    <n v="0.18903539023812949"/>
    <n v="0.47186081579428923"/>
    <n v="0.120216845163793"/>
    <n v="0.87978315483620695"/>
    <n v="0.3919669296232145"/>
  </r>
  <r>
    <s v="TEF.MC"/>
    <x v="2"/>
    <n v="0.130845546072479"/>
    <n v="1.1198057312324201"/>
    <n v="345"/>
    <n v="0.33814856096873303"/>
    <n v="0.17273297977490901"/>
    <n v="1.3310038771592601"/>
    <n v="0.17249999999999999"/>
    <n v="0.75699134074008201"/>
    <n v="0.162687059296512"/>
    <n v="0.49646541153505014"/>
    <n v="0.20937294306855622"/>
    <n v="0.52946506236962876"/>
    <n v="0.14271240665980292"/>
    <n v="0.85728759334019711"/>
    <n v="0.49240200260650496"/>
  </r>
  <r>
    <s v="TEF.MC"/>
    <x v="3"/>
    <n v="3.2872063880269697E-2"/>
    <n v="1.01322768218987"/>
    <n v="148"/>
    <n v="9.7989235097594496E-2"/>
    <n v="0.10146121936345701"/>
    <n v="1.0910666166219101"/>
    <n v="7.3999999999999996E-2"/>
    <n v="0.47622473819148903"/>
    <n v="7.0053877866249795E-2"/>
    <n v="0.16543732790852014"/>
    <n v="0.18126463802290246"/>
    <n v="0.44645979855629092"/>
    <n v="2.9600760645356612E-2"/>
    <n v="0.97039923935464334"/>
    <n v="0.41548464442639071"/>
  </r>
  <r>
    <s v="TEF.MC"/>
    <x v="4"/>
    <n v="0.108897390750025"/>
    <n v="0.92377313013005602"/>
    <n v="331"/>
    <n v="-0.13888745151910101"/>
    <n v="0.223108579329162"/>
    <n v="1.09036791667614"/>
    <n v="0.16549999999999901"/>
    <n v="0.28337478204342498"/>
    <n v="0.18966032460780799"/>
    <n v="0.42230804126545374"/>
    <n v="0.15767238934122774"/>
    <n v="0.364589099625373"/>
    <n v="0.22266085961860757"/>
    <n v="0.7773391403813924"/>
    <n v="0.396607883019349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58AB0-747F-429D-92CC-AE5906BA6C1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17">
    <pivotField showAll="0"/>
    <pivotField axis="axisRow" showAll="0" sortType="descending">
      <items count="6">
        <item x="3"/>
        <item x="0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2"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49" showAll="0"/>
    <pivotField numFmtId="49" showAll="0"/>
    <pivotField numFmtId="49" showAll="0"/>
    <pivotField numFmtId="2" showAll="0"/>
    <pivotField dataField="1" numFmtId="49" showAll="0"/>
  </pivotFields>
  <rowFields count="1">
    <field x="1"/>
  </rowFields>
  <rowItems count="6"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Promedio de score" fld="16" subtotal="average" baseField="1" baseItem="0" numFmtId="49"/>
  </dataFields>
  <formats count="6">
    <format dxfId="7">
      <pivotArea collapsedLevelsAreSubtotals="1" fieldPosition="0">
        <references count="1">
          <reference field="1" count="1">
            <x v="0"/>
          </reference>
        </references>
      </pivotArea>
    </format>
    <format dxfId="6">
      <pivotArea dataOnly="0" labelOnly="1" fieldPosition="0">
        <references count="1">
          <reference field="1" count="1">
            <x v="0"/>
          </reference>
        </references>
      </pivotArea>
    </format>
    <format dxfId="5">
      <pivotArea collapsedLevelsAreSubtotals="1" fieldPosition="0">
        <references count="1">
          <reference field="1" count="1">
            <x v="1"/>
          </reference>
        </references>
      </pivotArea>
    </format>
    <format dxfId="4">
      <pivotArea dataOnly="0" labelOnly="1" fieldPosition="0">
        <references count="1">
          <reference field="1" count="1">
            <x v="1"/>
          </reference>
        </references>
      </pivotArea>
    </format>
    <format dxfId="3">
      <pivotArea collapsedLevelsAreSubtotals="1" fieldPosition="0">
        <references count="1">
          <reference field="1" count="1">
            <x v="4"/>
          </reference>
        </references>
      </pivotArea>
    </format>
    <format dxfId="2">
      <pivotArea dataOnly="0" labelOnly="1" fieldPosition="0">
        <references count="1">
          <reference field="1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ACE501-B51C-4D5D-B878-6275EF730437}" name="Tabla1" displayName="Tabla1" ref="A1:Q156" totalsRowShown="0" headerRowDxfId="25">
  <autoFilter ref="A1:Q156" xr:uid="{72ACE501-B51C-4D5D-B878-6275EF730437}">
    <filterColumn colId="1">
      <filters>
        <filter val="DecisionTree"/>
        <filter val="LinearRegression"/>
        <filter val="SVR"/>
      </filters>
    </filterColumn>
  </autoFilter>
  <tableColumns count="17">
    <tableColumn id="1" xr3:uid="{F58AEA03-E286-4833-8073-87CC31360D08}" name="ticker" dataDxfId="24"/>
    <tableColumn id="2" xr3:uid="{D6258AF4-B3EA-45D3-B161-8168E5D132F1}" name="modelo" dataDxfId="23"/>
    <tableColumn id="3" xr3:uid="{E12C35C1-2EAE-47DB-8746-A9E6B3B780FF}" name="R2_test" dataDxfId="22"/>
    <tableColumn id="4" xr3:uid="{25AE0F60-A470-4531-ABC3-1A5BC017E47D}" name="retorno_strat_net" dataDxfId="21"/>
    <tableColumn id="5" xr3:uid="{959D5023-B3FA-4841-B3E4-024E775866BB}" name="n_trades" dataDxfId="20"/>
    <tableColumn id="6" xr3:uid="{B6EFE092-7D6F-4337-A76A-16E33AAE84E6}" name="sharpe_net" dataDxfId="19"/>
    <tableColumn id="7" xr3:uid="{92A89906-CDF4-44E5-A005-FA25997FDE74}" name="max_drawdown_net" dataDxfId="18"/>
    <tableColumn id="8" xr3:uid="{71CD8E3F-ADF4-4C62-A7E7-6911E08F5B2F}" name="retorno_strat_gross" dataDxfId="17"/>
    <tableColumn id="9" xr3:uid="{8525D6D8-9639-4E0D-B927-7B2A48916EAE}" name="total_cost" dataDxfId="16"/>
    <tableColumn id="10" xr3:uid="{9B0F3891-B6E2-42AB-A9A2-C1D97F9B4123}" name="sharpe_gross" dataDxfId="15"/>
    <tableColumn id="11" xr3:uid="{97E146B8-3F4F-49A4-BD07-76BAAED3209B}" name="max_drawdown_gross" dataDxfId="14"/>
    <tableColumn id="12" xr3:uid="{1049ED39-91ED-4B0A-B77C-F3F58A800D15}" name="R2_norm" dataDxfId="13">
      <calculatedColumnFormula>(C2 - MIN($C:$C)) / (MAX($C:$C) - MIN($C:$C))</calculatedColumnFormula>
    </tableColumn>
    <tableColumn id="13" xr3:uid="{AE8CA58E-C6A4-47C1-822F-C052296AD660}" name="retorno_norm" dataDxfId="12">
      <calculatedColumnFormula>(D2 - MIN($D:$D)) / (MAX($D:$D) - MIN($D:$D))</calculatedColumnFormula>
    </tableColumn>
    <tableColumn id="14" xr3:uid="{C6FEF617-CA10-40BE-97C7-EBBFB576AFF5}" name="sharpe_norm" dataDxfId="11">
      <calculatedColumnFormula>(F2 - MIN($F:$F)) / (MAX($F:$F) - MIN($F:$F))</calculatedColumnFormula>
    </tableColumn>
    <tableColumn id="15" xr3:uid="{CFA55240-F065-4845-ABB4-4BC0C3A0D759}" name="drawdown_norm" dataDxfId="10">
      <calculatedColumnFormula>(G2 - MIN($G:$G)) / (MAX($G:$G) - MIN($G:$G))</calculatedColumnFormula>
    </tableColumn>
    <tableColumn id="16" xr3:uid="{4DB988AC-3937-4C51-9D20-74A5AF9D1339}" name="drawdown_inv" dataDxfId="9">
      <calculatedColumnFormula>1 - O2</calculatedColumnFormula>
    </tableColumn>
    <tableColumn id="17" xr3:uid="{9E4F2B8B-0798-48F2-8D76-3D708910E62C}" name="score" dataDxfId="8">
      <calculatedColumnFormula>0.2*L2+0.3*M2+0.3*N2+0.2*P2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C272DC-38D9-4003-90F2-2D4919CCAB94}" name="Tabla2" displayName="Tabla2" ref="D3:E34" totalsRowShown="0" headerRowDxfId="1">
  <autoFilter ref="D3:E34" xr:uid="{4AC272DC-38D9-4003-90F2-2D4919CCAB94}"/>
  <sortState xmlns:xlrd2="http://schemas.microsoft.com/office/spreadsheetml/2017/richdata2" ref="D4:E34">
    <sortCondition descending="1" ref="E3:E34"/>
  </sortState>
  <tableColumns count="2">
    <tableColumn id="1" xr3:uid="{02AC97B9-7872-403C-AF5A-98B3D3A2A07C}" name="ticker"/>
    <tableColumn id="2" xr3:uid="{FD31F34E-0559-407C-9C35-1F0DDD61BEBD}" name="score_medio" dataDxfId="0">
      <calculatedColumnFormula>(AVERAGEIFS(Tabla1[score],Tabla1[ticker],D4,Tabla1[modelo],"DecisionTree")+
 AVERAGEIFS(Tabla1[score],Tabla1[ticker],D4,Tabla1[modelo],"LinearRegression")+
 AVERAGEIFS(Tabla1[score],Tabla1[ticker],D4,Tabla1[modelo],"SVR"))/3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0DCB-0774-4811-AAFA-5847F0E0B588}">
  <dimension ref="A1:Q156"/>
  <sheetViews>
    <sheetView tabSelected="1" workbookViewId="0">
      <selection sqref="A1:G1048576"/>
    </sheetView>
  </sheetViews>
  <sheetFormatPr baseColWidth="10" defaultRowHeight="14.4" x14ac:dyDescent="0.3"/>
  <cols>
    <col min="1" max="1" width="8.77734375" bestFit="1" customWidth="1"/>
    <col min="2" max="2" width="15.77734375" bestFit="1" customWidth="1"/>
    <col min="3" max="3" width="9.44140625" customWidth="1"/>
    <col min="4" max="4" width="18.109375" customWidth="1"/>
    <col min="5" max="5" width="10.44140625" customWidth="1"/>
    <col min="6" max="6" width="12.6640625" customWidth="1"/>
    <col min="7" max="7" width="20" customWidth="1"/>
    <col min="8" max="8" width="19.88671875" customWidth="1"/>
    <col min="9" max="9" width="11.5546875" customWidth="1"/>
    <col min="10" max="10" width="14.44140625" customWidth="1"/>
    <col min="11" max="11" width="21.77734375" customWidth="1"/>
    <col min="12" max="12" width="10.5546875" customWidth="1"/>
    <col min="13" max="13" width="15" customWidth="1"/>
    <col min="14" max="14" width="14.33203125" customWidth="1"/>
    <col min="15" max="15" width="17.6640625" customWidth="1"/>
    <col min="16" max="16" width="15.6640625" customWidth="1"/>
    <col min="17" max="17" width="7.5546875" customWidth="1"/>
  </cols>
  <sheetData>
    <row r="1" spans="1:17" x14ac:dyDescent="0.3">
      <c r="A1" s="11" t="s">
        <v>9</v>
      </c>
      <c r="B1" s="11" t="s">
        <v>10</v>
      </c>
      <c r="C1" s="12" t="s">
        <v>0</v>
      </c>
      <c r="D1" s="12" t="s">
        <v>2</v>
      </c>
      <c r="E1" s="11" t="s">
        <v>4</v>
      </c>
      <c r="F1" s="12" t="s">
        <v>6</v>
      </c>
      <c r="G1" s="12" t="s">
        <v>8</v>
      </c>
      <c r="H1" s="11" t="s">
        <v>1</v>
      </c>
      <c r="I1" s="11" t="s">
        <v>3</v>
      </c>
      <c r="J1" s="11" t="s">
        <v>5</v>
      </c>
      <c r="K1" s="11" t="s">
        <v>7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  <c r="Q1" s="5" t="s">
        <v>52</v>
      </c>
    </row>
    <row r="2" spans="1:17" x14ac:dyDescent="0.3">
      <c r="A2" s="1" t="s">
        <v>11</v>
      </c>
      <c r="B2" s="1" t="s">
        <v>12</v>
      </c>
      <c r="C2" s="10">
        <v>3.2714988696801998E-2</v>
      </c>
      <c r="D2" s="10">
        <v>0.97061235296112902</v>
      </c>
      <c r="E2" s="3">
        <v>420</v>
      </c>
      <c r="F2" s="10">
        <v>5.3037165248531498E-2</v>
      </c>
      <c r="G2" s="10">
        <v>0.34344083284864202</v>
      </c>
      <c r="H2" s="2">
        <v>1.19773517274954</v>
      </c>
      <c r="I2" s="2">
        <v>0.21</v>
      </c>
      <c r="J2" s="2">
        <v>0.38646483144350302</v>
      </c>
      <c r="K2" s="2">
        <v>0.30136710924338</v>
      </c>
      <c r="L2" s="6">
        <f>(C2 - MIN($C:$C)) / (MAX($C:$C) - MIN($C:$C))</f>
        <v>0.1649066098427216</v>
      </c>
      <c r="M2" s="7">
        <f>(D2 - MIN($D:$D)) / (MAX($D:$D) - MIN($D:$D))</f>
        <v>0.17002550684773721</v>
      </c>
      <c r="N2" s="7">
        <f>(F2 - MIN($F:$F)) / (MAX($F:$F) - MIN($F:$F))</f>
        <v>0.43092320257675715</v>
      </c>
      <c r="O2" s="7">
        <f>(G2 - MIN($G:$G)) / (MAX($G:$G) - MIN($G:$G))</f>
        <v>0.41363382262162346</v>
      </c>
      <c r="P2" s="8">
        <f>1 - O2</f>
        <v>0.5863661773783766</v>
      </c>
      <c r="Q2" s="9">
        <f>0.2*L2+0.3*M2+0.3*N2+0.2*P2</f>
        <v>0.33053917027156793</v>
      </c>
    </row>
    <row r="3" spans="1:17" hidden="1" x14ac:dyDescent="0.3">
      <c r="A3" s="1" t="s">
        <v>11</v>
      </c>
      <c r="B3" s="1" t="s">
        <v>13</v>
      </c>
      <c r="C3" s="10">
        <v>3.3120764450733302E-2</v>
      </c>
      <c r="D3" s="10">
        <v>0.96267277957707598</v>
      </c>
      <c r="E3" s="3">
        <v>422</v>
      </c>
      <c r="F3" s="10">
        <v>4.0065858691185001E-2</v>
      </c>
      <c r="G3" s="10">
        <v>0.34881146271201402</v>
      </c>
      <c r="H3" s="2">
        <v>1.1891308766356801</v>
      </c>
      <c r="I3" s="2">
        <v>0.21099999999999999</v>
      </c>
      <c r="J3" s="2">
        <v>0.374979056906172</v>
      </c>
      <c r="K3" s="2">
        <v>0.30638595180868</v>
      </c>
      <c r="L3" s="6">
        <f t="shared" ref="L3:L66" si="0">(C3 - MIN($C:$C)) / (MAX($C:$C) - MIN($C:$C))</f>
        <v>0.1662776254195944</v>
      </c>
      <c r="M3" s="7">
        <f t="shared" ref="M3:M66" si="1">(D3 - MIN($D:$D)) / (MAX($D:$D) - MIN($D:$D))</f>
        <v>0.16793156768656697</v>
      </c>
      <c r="N3" s="7">
        <f t="shared" ref="N3:N66" si="2">(F3 - MIN($F:$F)) / (MAX($F:$F) - MIN($F:$F))</f>
        <v>0.42643998411796641</v>
      </c>
      <c r="O3" s="7">
        <f t="shared" ref="O3:O66" si="3">(G3 - MIN($G:$G)) / (MAX($G:$G) - MIN($G:$G))</f>
        <v>0.42215726557397037</v>
      </c>
      <c r="P3" s="8">
        <f t="shared" ref="P3:P66" si="4">1 - O3</f>
        <v>0.57784273442602963</v>
      </c>
      <c r="Q3" s="9">
        <f t="shared" ref="Q3:Q66" si="5">0.2*L3+0.3*M3+0.3*N3+0.2*P3</f>
        <v>0.32713553751048485</v>
      </c>
    </row>
    <row r="4" spans="1:17" hidden="1" x14ac:dyDescent="0.3">
      <c r="A4" s="1" t="s">
        <v>11</v>
      </c>
      <c r="B4" s="1" t="s">
        <v>14</v>
      </c>
      <c r="C4" s="10">
        <v>9.1999579559392197E-2</v>
      </c>
      <c r="D4" s="10">
        <v>1.19266544636579</v>
      </c>
      <c r="E4" s="3">
        <v>363</v>
      </c>
      <c r="F4" s="10">
        <v>0.37057894398167701</v>
      </c>
      <c r="G4" s="10">
        <v>0.30038579462922399</v>
      </c>
      <c r="H4" s="2">
        <v>1.4309729707861201</v>
      </c>
      <c r="I4" s="2">
        <v>0.18149999999999999</v>
      </c>
      <c r="J4" s="2">
        <v>0.647405196516188</v>
      </c>
      <c r="K4" s="2">
        <v>0.25395395365869</v>
      </c>
      <c r="L4" s="6">
        <f t="shared" si="0"/>
        <v>0.36521453054441794</v>
      </c>
      <c r="M4" s="7">
        <f t="shared" si="1"/>
        <v>0.22858856126485638</v>
      </c>
      <c r="N4" s="7">
        <f t="shared" si="2"/>
        <v>0.54067384007498187</v>
      </c>
      <c r="O4" s="7">
        <f t="shared" si="3"/>
        <v>0.34530344584828998</v>
      </c>
      <c r="P4" s="8">
        <f t="shared" si="4"/>
        <v>0.65469655415171002</v>
      </c>
      <c r="Q4" s="9">
        <f t="shared" si="5"/>
        <v>0.43476093734117705</v>
      </c>
    </row>
    <row r="5" spans="1:17" x14ac:dyDescent="0.3">
      <c r="A5" s="1" t="s">
        <v>11</v>
      </c>
      <c r="B5" s="1" t="s">
        <v>15</v>
      </c>
      <c r="C5" s="10">
        <v>0.13443596106545699</v>
      </c>
      <c r="D5" s="10">
        <v>1.0220091070942801</v>
      </c>
      <c r="E5" s="3">
        <v>391</v>
      </c>
      <c r="F5" s="10">
        <v>0.13288899097294701</v>
      </c>
      <c r="G5" s="10">
        <v>0.34039492608691202</v>
      </c>
      <c r="H5" s="2">
        <v>1.24350779876008</v>
      </c>
      <c r="I5" s="2">
        <v>0.19550000000000001</v>
      </c>
      <c r="J5" s="2">
        <v>0.45312912915810899</v>
      </c>
      <c r="K5" s="2">
        <v>0.28350923049242099</v>
      </c>
      <c r="L5" s="6">
        <f t="shared" si="0"/>
        <v>0.508596532813538</v>
      </c>
      <c r="M5" s="7">
        <f t="shared" si="1"/>
        <v>0.18358060244677848</v>
      </c>
      <c r="N5" s="7">
        <f t="shared" si="2"/>
        <v>0.45852205528084999</v>
      </c>
      <c r="O5" s="7">
        <f t="shared" si="3"/>
        <v>0.40879982490026995</v>
      </c>
      <c r="P5" s="8">
        <f t="shared" si="4"/>
        <v>0.59120017509973</v>
      </c>
      <c r="Q5" s="9">
        <f t="shared" si="5"/>
        <v>0.41259013890094215</v>
      </c>
    </row>
    <row r="6" spans="1:17" x14ac:dyDescent="0.3">
      <c r="A6" s="1" t="s">
        <v>11</v>
      </c>
      <c r="B6" s="1" t="s">
        <v>16</v>
      </c>
      <c r="C6" s="10">
        <v>3.6314721643289E-2</v>
      </c>
      <c r="D6" s="10">
        <v>0.84284098020638598</v>
      </c>
      <c r="E6" s="3">
        <v>438</v>
      </c>
      <c r="F6" s="10">
        <v>-0.16350325195288501</v>
      </c>
      <c r="G6" s="10">
        <v>0.42542690278580603</v>
      </c>
      <c r="H6" s="2">
        <v>1.04951793190126</v>
      </c>
      <c r="I6" s="2">
        <v>0.219</v>
      </c>
      <c r="J6" s="2">
        <v>0.17729723162547301</v>
      </c>
      <c r="K6" s="2">
        <v>0.38488833431049602</v>
      </c>
      <c r="L6" s="6">
        <f t="shared" si="0"/>
        <v>0.17706921417381097</v>
      </c>
      <c r="M6" s="7">
        <f t="shared" si="1"/>
        <v>0.1363277918514868</v>
      </c>
      <c r="N6" s="7">
        <f t="shared" si="2"/>
        <v>0.35608124342794573</v>
      </c>
      <c r="O6" s="7">
        <f t="shared" si="3"/>
        <v>0.5437495833003515</v>
      </c>
      <c r="P6" s="8">
        <f t="shared" si="4"/>
        <v>0.4562504166996485</v>
      </c>
      <c r="Q6" s="9">
        <f t="shared" si="5"/>
        <v>0.27438663675852165</v>
      </c>
    </row>
    <row r="7" spans="1:17" x14ac:dyDescent="0.3">
      <c r="A7" s="1" t="s">
        <v>17</v>
      </c>
      <c r="B7" s="1" t="s">
        <v>12</v>
      </c>
      <c r="C7" s="10">
        <v>0.205396555545067</v>
      </c>
      <c r="D7" s="10">
        <v>1.11094374426701</v>
      </c>
      <c r="E7" s="3">
        <v>371</v>
      </c>
      <c r="F7" s="10">
        <v>0.27417557582924601</v>
      </c>
      <c r="G7" s="10">
        <v>0.248397427029798</v>
      </c>
      <c r="H7" s="2">
        <v>1.33801206546291</v>
      </c>
      <c r="I7" s="2">
        <v>0.1855</v>
      </c>
      <c r="J7" s="2">
        <v>0.60168587038946297</v>
      </c>
      <c r="K7" s="2">
        <v>0.196494768621848</v>
      </c>
      <c r="L7" s="6">
        <f t="shared" si="0"/>
        <v>0.74835477226756553</v>
      </c>
      <c r="M7" s="7">
        <f t="shared" si="1"/>
        <v>0.2070357316523958</v>
      </c>
      <c r="N7" s="7">
        <f t="shared" si="2"/>
        <v>0.50735434695531634</v>
      </c>
      <c r="O7" s="7">
        <f t="shared" si="3"/>
        <v>0.26279545391954984</v>
      </c>
      <c r="P7" s="8">
        <f t="shared" si="4"/>
        <v>0.73720454608045016</v>
      </c>
      <c r="Q7" s="9">
        <f t="shared" si="5"/>
        <v>0.51142888725191682</v>
      </c>
    </row>
    <row r="8" spans="1:17" hidden="1" x14ac:dyDescent="0.3">
      <c r="A8" s="1" t="s">
        <v>17</v>
      </c>
      <c r="B8" s="1" t="s">
        <v>13</v>
      </c>
      <c r="C8" s="10">
        <v>0.20592480248565601</v>
      </c>
      <c r="D8" s="10">
        <v>1.11094374426701</v>
      </c>
      <c r="E8" s="3">
        <v>371</v>
      </c>
      <c r="F8" s="10">
        <v>0.27417557582924601</v>
      </c>
      <c r="G8" s="10">
        <v>0.248397427029798</v>
      </c>
      <c r="H8" s="2">
        <v>1.33801206546291</v>
      </c>
      <c r="I8" s="2">
        <v>0.1855</v>
      </c>
      <c r="J8" s="2">
        <v>0.60168587038946297</v>
      </c>
      <c r="K8" s="2">
        <v>0.196494768621848</v>
      </c>
      <c r="L8" s="6">
        <f t="shared" si="0"/>
        <v>0.75013958759220301</v>
      </c>
      <c r="M8" s="7">
        <f t="shared" si="1"/>
        <v>0.2070357316523958</v>
      </c>
      <c r="N8" s="7">
        <f t="shared" si="2"/>
        <v>0.50735434695531634</v>
      </c>
      <c r="O8" s="7">
        <f t="shared" si="3"/>
        <v>0.26279545391954984</v>
      </c>
      <c r="P8" s="8">
        <f t="shared" si="4"/>
        <v>0.73720454608045016</v>
      </c>
      <c r="Q8" s="9">
        <f t="shared" si="5"/>
        <v>0.5117858503168442</v>
      </c>
    </row>
    <row r="9" spans="1:17" hidden="1" x14ac:dyDescent="0.3">
      <c r="A9" s="1" t="s">
        <v>17</v>
      </c>
      <c r="B9" s="1" t="s">
        <v>14</v>
      </c>
      <c r="C9" s="10">
        <v>0.22789896338173601</v>
      </c>
      <c r="D9" s="10">
        <v>1.37619647511855</v>
      </c>
      <c r="E9" s="3">
        <v>349</v>
      </c>
      <c r="F9" s="10">
        <v>0.643184712435519</v>
      </c>
      <c r="G9" s="10">
        <v>0.22192320975104199</v>
      </c>
      <c r="H9" s="2">
        <v>1.63921912091522</v>
      </c>
      <c r="I9" s="2">
        <v>0.17449999999999999</v>
      </c>
      <c r="J9" s="2">
        <v>0.948929967616988</v>
      </c>
      <c r="K9" s="2">
        <v>0.18393173768941301</v>
      </c>
      <c r="L9" s="6">
        <f t="shared" si="0"/>
        <v>0.82438482424164428</v>
      </c>
      <c r="M9" s="7">
        <f t="shared" si="1"/>
        <v>0.27699201946163443</v>
      </c>
      <c r="N9" s="7">
        <f t="shared" si="2"/>
        <v>0.63489343219563155</v>
      </c>
      <c r="O9" s="7">
        <f t="shared" si="3"/>
        <v>0.22077962217838487</v>
      </c>
      <c r="P9" s="8">
        <f t="shared" si="4"/>
        <v>0.77922037782161513</v>
      </c>
      <c r="Q9" s="9">
        <f t="shared" si="5"/>
        <v>0.59428667590983164</v>
      </c>
    </row>
    <row r="10" spans="1:17" x14ac:dyDescent="0.3">
      <c r="A10" s="1" t="s">
        <v>17</v>
      </c>
      <c r="B10" s="1" t="s">
        <v>15</v>
      </c>
      <c r="C10" s="10">
        <v>0.23842018458843101</v>
      </c>
      <c r="D10" s="10">
        <v>1.61485724676187</v>
      </c>
      <c r="E10" s="3">
        <v>329</v>
      </c>
      <c r="F10" s="10">
        <v>0.82142928273245497</v>
      </c>
      <c r="G10" s="10">
        <v>0.210614806547746</v>
      </c>
      <c r="H10" s="2">
        <v>1.90492815133981</v>
      </c>
      <c r="I10" s="2">
        <v>0.16450000000000001</v>
      </c>
      <c r="J10" s="2">
        <v>1.07317611106387</v>
      </c>
      <c r="K10" s="2">
        <v>0.19089907137061701</v>
      </c>
      <c r="L10" s="6">
        <f t="shared" si="0"/>
        <v>0.85993341979559512</v>
      </c>
      <c r="M10" s="7">
        <f t="shared" si="1"/>
        <v>0.33993509106077124</v>
      </c>
      <c r="N10" s="7">
        <f t="shared" si="2"/>
        <v>0.69649935787486517</v>
      </c>
      <c r="O10" s="7">
        <f t="shared" si="3"/>
        <v>0.20283265282144</v>
      </c>
      <c r="P10" s="8">
        <f t="shared" si="4"/>
        <v>0.79716734717855997</v>
      </c>
      <c r="Q10" s="9">
        <f t="shared" si="5"/>
        <v>0.64235048807552197</v>
      </c>
    </row>
    <row r="11" spans="1:17" x14ac:dyDescent="0.3">
      <c r="A11" s="1" t="s">
        <v>17</v>
      </c>
      <c r="B11" s="1" t="s">
        <v>16</v>
      </c>
      <c r="C11" s="10">
        <v>0.23090371221964701</v>
      </c>
      <c r="D11" s="10">
        <v>1.1621636885641899</v>
      </c>
      <c r="E11" s="3">
        <v>355</v>
      </c>
      <c r="F11" s="10">
        <v>0.36640635849215802</v>
      </c>
      <c r="G11" s="10">
        <v>0.29376198163844602</v>
      </c>
      <c r="H11" s="2">
        <v>1.3884978680220801</v>
      </c>
      <c r="I11" s="2">
        <v>0.17749999999999999</v>
      </c>
      <c r="J11" s="2">
        <v>0.70368915135738597</v>
      </c>
      <c r="K11" s="2">
        <v>0.24223685707724199</v>
      </c>
      <c r="L11" s="6">
        <f t="shared" si="0"/>
        <v>0.83453712491869236</v>
      </c>
      <c r="M11" s="7">
        <f t="shared" si="1"/>
        <v>0.22054419640344169</v>
      </c>
      <c r="N11" s="7">
        <f t="shared" si="2"/>
        <v>0.53923168679575806</v>
      </c>
      <c r="O11" s="7">
        <f t="shared" si="3"/>
        <v>0.33479114215390304</v>
      </c>
      <c r="P11" s="8">
        <f t="shared" si="4"/>
        <v>0.66520885784609696</v>
      </c>
      <c r="Q11" s="9">
        <f t="shared" si="5"/>
        <v>0.52788196151271782</v>
      </c>
    </row>
    <row r="12" spans="1:17" x14ac:dyDescent="0.3">
      <c r="A12" s="1" t="s">
        <v>18</v>
      </c>
      <c r="B12" s="1" t="s">
        <v>12</v>
      </c>
      <c r="C12" s="10">
        <v>9.7235512410647304E-2</v>
      </c>
      <c r="D12" s="10">
        <v>1.18924979681798</v>
      </c>
      <c r="E12" s="3">
        <v>381</v>
      </c>
      <c r="F12" s="10">
        <v>0.50450897667436601</v>
      </c>
      <c r="G12" s="10">
        <v>0.12809173753898501</v>
      </c>
      <c r="H12" s="2">
        <v>1.4389411130779599</v>
      </c>
      <c r="I12" s="2">
        <v>0.1905</v>
      </c>
      <c r="J12" s="2">
        <v>0.99383552049609403</v>
      </c>
      <c r="K12" s="2">
        <v>0.116655551573391</v>
      </c>
      <c r="L12" s="6">
        <f t="shared" si="0"/>
        <v>0.38290544832100376</v>
      </c>
      <c r="M12" s="7">
        <f t="shared" si="1"/>
        <v>0.22768773674910117</v>
      </c>
      <c r="N12" s="7">
        <f t="shared" si="2"/>
        <v>0.58696351737925012</v>
      </c>
      <c r="O12" s="7">
        <f t="shared" si="3"/>
        <v>7.1864649283185117E-2</v>
      </c>
      <c r="P12" s="8">
        <f t="shared" si="4"/>
        <v>0.92813535071681486</v>
      </c>
      <c r="Q12" s="9">
        <f t="shared" si="5"/>
        <v>0.50660353604606911</v>
      </c>
    </row>
    <row r="13" spans="1:17" hidden="1" x14ac:dyDescent="0.3">
      <c r="A13" s="1" t="s">
        <v>18</v>
      </c>
      <c r="B13" s="1" t="s">
        <v>13</v>
      </c>
      <c r="C13" s="10">
        <v>9.8567815462241207E-2</v>
      </c>
      <c r="D13" s="10">
        <v>1.2069846688481101</v>
      </c>
      <c r="E13" s="3">
        <v>381</v>
      </c>
      <c r="F13" s="10">
        <v>0.54110684930888497</v>
      </c>
      <c r="G13" s="10">
        <v>0.12809173753898501</v>
      </c>
      <c r="H13" s="2">
        <v>1.4603907960789999</v>
      </c>
      <c r="I13" s="2">
        <v>0.1905</v>
      </c>
      <c r="J13" s="2">
        <v>1.02906819504452</v>
      </c>
      <c r="K13" s="2">
        <v>0.116655551573391</v>
      </c>
      <c r="L13" s="6">
        <f t="shared" si="0"/>
        <v>0.38740696971343191</v>
      </c>
      <c r="M13" s="7">
        <f t="shared" si="1"/>
        <v>0.23236503378584378</v>
      </c>
      <c r="N13" s="7">
        <f t="shared" si="2"/>
        <v>0.59961268710029259</v>
      </c>
      <c r="O13" s="7">
        <f t="shared" si="3"/>
        <v>7.1864649283185117E-2</v>
      </c>
      <c r="P13" s="8">
        <f t="shared" si="4"/>
        <v>0.92813535071681486</v>
      </c>
      <c r="Q13" s="9">
        <f t="shared" si="5"/>
        <v>0.51270178035189029</v>
      </c>
    </row>
    <row r="14" spans="1:17" hidden="1" x14ac:dyDescent="0.3">
      <c r="A14" s="1" t="s">
        <v>18</v>
      </c>
      <c r="B14" s="1" t="s">
        <v>14</v>
      </c>
      <c r="C14" s="10">
        <v>0.16906028370713</v>
      </c>
      <c r="D14" s="10">
        <v>1.5368210008635601</v>
      </c>
      <c r="E14" s="3">
        <v>327</v>
      </c>
      <c r="F14" s="10">
        <v>1.1450437082331699</v>
      </c>
      <c r="G14" s="10">
        <v>0.116920944237366</v>
      </c>
      <c r="H14" s="2">
        <v>1.81022416550476</v>
      </c>
      <c r="I14" s="2">
        <v>0.16350000000000001</v>
      </c>
      <c r="J14" s="2">
        <v>1.5673530680154499</v>
      </c>
      <c r="K14" s="2">
        <v>9.4500714983511203E-2</v>
      </c>
      <c r="L14" s="6">
        <f t="shared" si="0"/>
        <v>0.62558352678863938</v>
      </c>
      <c r="M14" s="7">
        <f t="shared" si="1"/>
        <v>0.31935424327801987</v>
      </c>
      <c r="N14" s="7">
        <f t="shared" si="2"/>
        <v>0.80834885888862862</v>
      </c>
      <c r="O14" s="7">
        <f t="shared" si="3"/>
        <v>5.4136073331941335E-2</v>
      </c>
      <c r="P14" s="8">
        <f t="shared" si="4"/>
        <v>0.94586392666805863</v>
      </c>
      <c r="Q14" s="9">
        <f t="shared" si="5"/>
        <v>0.65260042134133411</v>
      </c>
    </row>
    <row r="15" spans="1:17" x14ac:dyDescent="0.3">
      <c r="A15" s="1" t="s">
        <v>18</v>
      </c>
      <c r="B15" s="1" t="s">
        <v>15</v>
      </c>
      <c r="C15" s="10">
        <v>0.139437171361774</v>
      </c>
      <c r="D15" s="10">
        <v>1.5136411683061299</v>
      </c>
      <c r="E15" s="3">
        <v>363</v>
      </c>
      <c r="F15" s="10">
        <v>1.00328795097066</v>
      </c>
      <c r="G15" s="10">
        <v>0.11909685540113001</v>
      </c>
      <c r="H15" s="2">
        <v>1.8155196191763301</v>
      </c>
      <c r="I15" s="2">
        <v>0.18149999999999999</v>
      </c>
      <c r="J15" s="2">
        <v>1.4223612024504999</v>
      </c>
      <c r="K15" s="2">
        <v>0.106591792637</v>
      </c>
      <c r="L15" s="6">
        <f t="shared" si="0"/>
        <v>0.52549438132478266</v>
      </c>
      <c r="M15" s="7">
        <f t="shared" si="1"/>
        <v>0.31324092247430252</v>
      </c>
      <c r="N15" s="7">
        <f t="shared" si="2"/>
        <v>0.75935440911678165</v>
      </c>
      <c r="O15" s="7">
        <f t="shared" si="3"/>
        <v>5.7589346997327172E-2</v>
      </c>
      <c r="P15" s="8">
        <f t="shared" si="4"/>
        <v>0.94241065300267279</v>
      </c>
      <c r="Q15" s="9">
        <f t="shared" si="5"/>
        <v>0.61535960634281628</v>
      </c>
    </row>
    <row r="16" spans="1:17" x14ac:dyDescent="0.3">
      <c r="A16" s="1" t="s">
        <v>18</v>
      </c>
      <c r="B16" s="1" t="s">
        <v>16</v>
      </c>
      <c r="C16" s="10">
        <v>5.2604988555934797E-2</v>
      </c>
      <c r="D16" s="10">
        <v>1.42324172506028</v>
      </c>
      <c r="E16" s="3">
        <v>417</v>
      </c>
      <c r="F16" s="10">
        <v>0.92438523363996905</v>
      </c>
      <c r="G16" s="10">
        <v>0.130277592157171</v>
      </c>
      <c r="H16" s="2">
        <v>1.75331503286275</v>
      </c>
      <c r="I16" s="2">
        <v>0.20849999999999999</v>
      </c>
      <c r="J16" s="2">
        <v>1.4368355262474599</v>
      </c>
      <c r="K16" s="2">
        <v>0.121045385998518</v>
      </c>
      <c r="L16" s="6">
        <f t="shared" si="0"/>
        <v>0.2321099835452462</v>
      </c>
      <c r="M16" s="7">
        <f t="shared" si="1"/>
        <v>0.28939947341852973</v>
      </c>
      <c r="N16" s="7">
        <f t="shared" si="2"/>
        <v>0.73208359277905832</v>
      </c>
      <c r="O16" s="7">
        <f t="shared" si="3"/>
        <v>7.5333703679820577E-2</v>
      </c>
      <c r="P16" s="8">
        <f t="shared" si="4"/>
        <v>0.92466629632017938</v>
      </c>
      <c r="Q16" s="9">
        <f t="shared" si="5"/>
        <v>0.5378001758323615</v>
      </c>
    </row>
    <row r="17" spans="1:17" x14ac:dyDescent="0.3">
      <c r="A17" s="1" t="s">
        <v>19</v>
      </c>
      <c r="B17" s="1" t="s">
        <v>12</v>
      </c>
      <c r="C17" s="10">
        <v>0.194186181448047</v>
      </c>
      <c r="D17" s="10">
        <v>0.62827051723143301</v>
      </c>
      <c r="E17" s="3">
        <v>459</v>
      </c>
      <c r="F17" s="10">
        <v>-0.861640477729962</v>
      </c>
      <c r="G17" s="10">
        <v>0.42855202869956899</v>
      </c>
      <c r="H17" s="2">
        <v>0.79074789006865398</v>
      </c>
      <c r="I17" s="2">
        <v>0.22950000000000001</v>
      </c>
      <c r="J17" s="2">
        <v>-0.39931819136025198</v>
      </c>
      <c r="K17" s="2">
        <v>0.28398477500873598</v>
      </c>
      <c r="L17" s="6">
        <f t="shared" si="0"/>
        <v>0.71047770011458555</v>
      </c>
      <c r="M17" s="7">
        <f t="shared" si="1"/>
        <v>7.9738164988649024E-2</v>
      </c>
      <c r="N17" s="7">
        <f t="shared" si="2"/>
        <v>0.11478699264947843</v>
      </c>
      <c r="O17" s="7">
        <f t="shared" si="3"/>
        <v>0.54870930555314057</v>
      </c>
      <c r="P17" s="8">
        <f t="shared" si="4"/>
        <v>0.45129069444685943</v>
      </c>
      <c r="Q17" s="9">
        <f t="shared" si="5"/>
        <v>0.29071122620372725</v>
      </c>
    </row>
    <row r="18" spans="1:17" hidden="1" x14ac:dyDescent="0.3">
      <c r="A18" s="1" t="s">
        <v>19</v>
      </c>
      <c r="B18" s="1" t="s">
        <v>13</v>
      </c>
      <c r="C18" s="10">
        <v>0.194801627075435</v>
      </c>
      <c r="D18" s="10">
        <v>0.68818543894653905</v>
      </c>
      <c r="E18" s="3">
        <v>465</v>
      </c>
      <c r="F18" s="10">
        <v>-0.65915152468805305</v>
      </c>
      <c r="G18" s="10">
        <v>0.37405598038013299</v>
      </c>
      <c r="H18" s="2">
        <v>0.86875676532832702</v>
      </c>
      <c r="I18" s="2">
        <v>0.23250000000000001</v>
      </c>
      <c r="J18" s="2">
        <v>-0.200089702293267</v>
      </c>
      <c r="K18" s="2">
        <v>0.21334842798602</v>
      </c>
      <c r="L18" s="6">
        <f t="shared" si="0"/>
        <v>0.71255713816304522</v>
      </c>
      <c r="M18" s="7">
        <f t="shared" si="1"/>
        <v>9.5539794981728599E-2</v>
      </c>
      <c r="N18" s="7">
        <f t="shared" si="2"/>
        <v>0.18477240298306954</v>
      </c>
      <c r="O18" s="7">
        <f t="shared" si="3"/>
        <v>0.46222150602204121</v>
      </c>
      <c r="P18" s="8">
        <f t="shared" si="4"/>
        <v>0.53777849397795885</v>
      </c>
      <c r="Q18" s="9">
        <f t="shared" si="5"/>
        <v>0.3341607858176403</v>
      </c>
    </row>
    <row r="19" spans="1:17" hidden="1" x14ac:dyDescent="0.3">
      <c r="A19" s="1" t="s">
        <v>19</v>
      </c>
      <c r="B19" s="1" t="s">
        <v>14</v>
      </c>
      <c r="C19" s="10">
        <v>0.18244525376488999</v>
      </c>
      <c r="D19" s="10">
        <v>1.1138550340786799</v>
      </c>
      <c r="E19" s="3">
        <v>367</v>
      </c>
      <c r="F19" s="10">
        <v>0.29896651331076102</v>
      </c>
      <c r="G19" s="10">
        <v>0.18256138251428899</v>
      </c>
      <c r="H19" s="2">
        <v>1.33878064460375</v>
      </c>
      <c r="I19" s="2">
        <v>0.1835</v>
      </c>
      <c r="J19" s="2">
        <v>0.68145971015234996</v>
      </c>
      <c r="K19" s="2">
        <v>0.159648995492503</v>
      </c>
      <c r="L19" s="6">
        <f t="shared" si="0"/>
        <v>0.67080801905406884</v>
      </c>
      <c r="M19" s="7">
        <f t="shared" si="1"/>
        <v>0.2078035391215497</v>
      </c>
      <c r="N19" s="7">
        <f t="shared" si="2"/>
        <v>0.51592273503838948</v>
      </c>
      <c r="O19" s="7">
        <f t="shared" si="3"/>
        <v>0.15831054546157067</v>
      </c>
      <c r="P19" s="8">
        <f t="shared" si="4"/>
        <v>0.84168945453842936</v>
      </c>
      <c r="Q19" s="9">
        <f t="shared" si="5"/>
        <v>0.51961737696648147</v>
      </c>
    </row>
    <row r="20" spans="1:17" x14ac:dyDescent="0.3">
      <c r="A20" s="1" t="s">
        <v>19</v>
      </c>
      <c r="B20" s="1" t="s">
        <v>15</v>
      </c>
      <c r="C20" s="10">
        <v>0.207691345559223</v>
      </c>
      <c r="D20" s="10">
        <v>0.89823826022303999</v>
      </c>
      <c r="E20" s="3">
        <v>327</v>
      </c>
      <c r="F20" s="10">
        <v>-0.19145165567386099</v>
      </c>
      <c r="G20" s="10">
        <v>0.231223743805688</v>
      </c>
      <c r="H20" s="2">
        <v>1.0580917005508801</v>
      </c>
      <c r="I20" s="2">
        <v>0.16350000000000001</v>
      </c>
      <c r="J20" s="2">
        <v>0.20202628181896201</v>
      </c>
      <c r="K20" s="2">
        <v>0.205235769975288</v>
      </c>
      <c r="L20" s="6">
        <f t="shared" si="0"/>
        <v>0.75610829825964021</v>
      </c>
      <c r="M20" s="7">
        <f t="shared" si="1"/>
        <v>0.15093796401541848</v>
      </c>
      <c r="N20" s="7">
        <f t="shared" si="2"/>
        <v>0.34642155348833437</v>
      </c>
      <c r="O20" s="7">
        <f t="shared" si="3"/>
        <v>0.23554000847530293</v>
      </c>
      <c r="P20" s="8">
        <f t="shared" si="4"/>
        <v>0.76445999152469701</v>
      </c>
      <c r="Q20" s="9">
        <f t="shared" si="5"/>
        <v>0.4533215132079933</v>
      </c>
    </row>
    <row r="21" spans="1:17" x14ac:dyDescent="0.3">
      <c r="A21" s="1" t="s">
        <v>19</v>
      </c>
      <c r="B21" s="1" t="s">
        <v>16</v>
      </c>
      <c r="C21" s="10">
        <v>0.15788067981734299</v>
      </c>
      <c r="D21" s="10">
        <v>0.87694845756129602</v>
      </c>
      <c r="E21" s="3">
        <v>393</v>
      </c>
      <c r="F21" s="10">
        <v>-0.18549359073816701</v>
      </c>
      <c r="G21" s="10">
        <v>0.226461554554794</v>
      </c>
      <c r="H21" s="2">
        <v>1.0679081849168599</v>
      </c>
      <c r="I21" s="2">
        <v>0.19650000000000001</v>
      </c>
      <c r="J21" s="2">
        <v>0.21124433804857101</v>
      </c>
      <c r="K21" s="2">
        <v>0.1984992954449</v>
      </c>
      <c r="L21" s="6">
        <f t="shared" si="0"/>
        <v>0.58781041953009006</v>
      </c>
      <c r="M21" s="7">
        <f t="shared" si="1"/>
        <v>0.14532310924040606</v>
      </c>
      <c r="N21" s="7">
        <f t="shared" si="2"/>
        <v>0.34848081456433205</v>
      </c>
      <c r="O21" s="7">
        <f t="shared" si="3"/>
        <v>0.22798218947811183</v>
      </c>
      <c r="P21" s="8">
        <f t="shared" si="4"/>
        <v>0.77201781052188823</v>
      </c>
      <c r="Q21" s="9">
        <f t="shared" si="5"/>
        <v>0.42010682315181713</v>
      </c>
    </row>
    <row r="22" spans="1:17" x14ac:dyDescent="0.3">
      <c r="A22" s="1" t="s">
        <v>20</v>
      </c>
      <c r="B22" s="1" t="s">
        <v>12</v>
      </c>
      <c r="C22" s="10">
        <v>0.139834132086917</v>
      </c>
      <c r="D22" s="10">
        <v>0.74280795749971495</v>
      </c>
      <c r="E22" s="3">
        <v>383</v>
      </c>
      <c r="F22" s="10">
        <v>-0.32555457321324899</v>
      </c>
      <c r="G22" s="10">
        <v>0.39901808887024498</v>
      </c>
      <c r="H22" s="2">
        <v>0.90007612339628096</v>
      </c>
      <c r="I22" s="2">
        <v>0.1915</v>
      </c>
      <c r="J22" s="2">
        <v>-4.6115394997016397E-2</v>
      </c>
      <c r="K22" s="2">
        <v>0.29355587173640602</v>
      </c>
      <c r="L22" s="6">
        <f t="shared" si="0"/>
        <v>0.52683561310688154</v>
      </c>
      <c r="M22" s="7">
        <f t="shared" si="1"/>
        <v>0.10994563584340154</v>
      </c>
      <c r="N22" s="7">
        <f t="shared" si="2"/>
        <v>0.30007212271724759</v>
      </c>
      <c r="O22" s="7">
        <f t="shared" si="3"/>
        <v>0.50183754978197714</v>
      </c>
      <c r="P22" s="8">
        <f t="shared" si="4"/>
        <v>0.49816245021802286</v>
      </c>
      <c r="Q22" s="9">
        <f t="shared" si="5"/>
        <v>0.32800494023317561</v>
      </c>
    </row>
    <row r="23" spans="1:17" hidden="1" x14ac:dyDescent="0.3">
      <c r="A23" s="1" t="s">
        <v>20</v>
      </c>
      <c r="B23" s="1" t="s">
        <v>13</v>
      </c>
      <c r="C23" s="10">
        <v>0.14229426316128799</v>
      </c>
      <c r="D23" s="10">
        <v>0.70726069075773002</v>
      </c>
      <c r="E23" s="3">
        <v>379</v>
      </c>
      <c r="F23" s="10">
        <v>-0.38596537477058102</v>
      </c>
      <c r="G23" s="10">
        <v>0.42777823351644001</v>
      </c>
      <c r="H23" s="2">
        <v>0.85532715054805297</v>
      </c>
      <c r="I23" s="2">
        <v>0.1895</v>
      </c>
      <c r="J23" s="2">
        <v>-0.114666474296482</v>
      </c>
      <c r="K23" s="2">
        <v>0.34490677181818602</v>
      </c>
      <c r="L23" s="6">
        <f t="shared" si="0"/>
        <v>0.53514778551105746</v>
      </c>
      <c r="M23" s="7">
        <f t="shared" si="1"/>
        <v>0.10057059636670755</v>
      </c>
      <c r="N23" s="7">
        <f t="shared" si="2"/>
        <v>0.27919258992270551</v>
      </c>
      <c r="O23" s="7">
        <f t="shared" si="3"/>
        <v>0.54748125609376863</v>
      </c>
      <c r="P23" s="8">
        <f t="shared" si="4"/>
        <v>0.45251874390623137</v>
      </c>
      <c r="Q23" s="9">
        <f t="shared" si="5"/>
        <v>0.31146226177028169</v>
      </c>
    </row>
    <row r="24" spans="1:17" hidden="1" x14ac:dyDescent="0.3">
      <c r="A24" s="1" t="s">
        <v>20</v>
      </c>
      <c r="B24" s="1" t="s">
        <v>14</v>
      </c>
      <c r="C24" s="10">
        <v>0.260626547921608</v>
      </c>
      <c r="D24" s="10">
        <v>0.64712532274668</v>
      </c>
      <c r="E24" s="3">
        <v>413</v>
      </c>
      <c r="F24" s="10">
        <v>-0.49353928810092201</v>
      </c>
      <c r="G24" s="10">
        <v>0.502129138854018</v>
      </c>
      <c r="H24" s="2">
        <v>0.79619799745997599</v>
      </c>
      <c r="I24" s="2">
        <v>0.20649999999999999</v>
      </c>
      <c r="J24" s="2">
        <v>-0.20600006971975701</v>
      </c>
      <c r="K24" s="2">
        <v>0.39784616235145598</v>
      </c>
      <c r="L24" s="6">
        <f t="shared" si="0"/>
        <v>0.9349632108575745</v>
      </c>
      <c r="M24" s="7">
        <f t="shared" si="1"/>
        <v>8.4710827087084037E-2</v>
      </c>
      <c r="N24" s="7">
        <f t="shared" si="2"/>
        <v>0.24201226797173031</v>
      </c>
      <c r="O24" s="7">
        <f t="shared" si="3"/>
        <v>0.66547965036447354</v>
      </c>
      <c r="P24" s="8">
        <f t="shared" si="4"/>
        <v>0.33452034963552646</v>
      </c>
      <c r="Q24" s="9">
        <f t="shared" si="5"/>
        <v>0.35191364061626451</v>
      </c>
    </row>
    <row r="25" spans="1:17" x14ac:dyDescent="0.3">
      <c r="A25" s="1" t="s">
        <v>20</v>
      </c>
      <c r="B25" s="1" t="s">
        <v>15</v>
      </c>
      <c r="C25" s="10">
        <v>0.256192984552572</v>
      </c>
      <c r="D25" s="10">
        <v>0.73795826350819305</v>
      </c>
      <c r="E25" s="3">
        <v>397</v>
      </c>
      <c r="F25" s="10">
        <v>-0.34321462354224702</v>
      </c>
      <c r="G25" s="10">
        <v>0.37344715384746702</v>
      </c>
      <c r="H25" s="2">
        <v>0.90067246976553605</v>
      </c>
      <c r="I25" s="2">
        <v>0.19850000000000001</v>
      </c>
      <c r="J25" s="2">
        <v>-4.9079573212607398E-2</v>
      </c>
      <c r="K25" s="2">
        <v>0.274695203542976</v>
      </c>
      <c r="L25" s="6">
        <f t="shared" si="0"/>
        <v>0.91998330044865906</v>
      </c>
      <c r="M25" s="7">
        <f t="shared" si="1"/>
        <v>0.10866660437945207</v>
      </c>
      <c r="N25" s="7">
        <f t="shared" si="2"/>
        <v>0.29396835334998239</v>
      </c>
      <c r="O25" s="7">
        <f t="shared" si="3"/>
        <v>0.46125526959334129</v>
      </c>
      <c r="P25" s="8">
        <f t="shared" si="4"/>
        <v>0.53874473040665871</v>
      </c>
      <c r="Q25" s="9">
        <f t="shared" si="5"/>
        <v>0.4125360934898939</v>
      </c>
    </row>
    <row r="26" spans="1:17" x14ac:dyDescent="0.3">
      <c r="A26" s="1" t="s">
        <v>20</v>
      </c>
      <c r="B26" s="1" t="s">
        <v>16</v>
      </c>
      <c r="C26" s="10">
        <v>0.226150780512649</v>
      </c>
      <c r="D26" s="10">
        <v>0.72043181279802704</v>
      </c>
      <c r="E26" s="3">
        <v>373</v>
      </c>
      <c r="F26" s="10">
        <v>-0.33664026220729198</v>
      </c>
      <c r="G26" s="10">
        <v>0.45907074576513501</v>
      </c>
      <c r="H26" s="2">
        <v>0.86873188393276002</v>
      </c>
      <c r="I26" s="2">
        <v>0.1865</v>
      </c>
      <c r="J26" s="2">
        <v>-7.9872016660946302E-2</v>
      </c>
      <c r="K26" s="2">
        <v>0.372181469596573</v>
      </c>
      <c r="L26" s="6">
        <f t="shared" si="0"/>
        <v>0.81847814814895126</v>
      </c>
      <c r="M26" s="7">
        <f t="shared" si="1"/>
        <v>0.10404427522861275</v>
      </c>
      <c r="N26" s="7">
        <f t="shared" si="2"/>
        <v>0.29624062237402593</v>
      </c>
      <c r="O26" s="7">
        <f t="shared" si="3"/>
        <v>0.59714394925503345</v>
      </c>
      <c r="P26" s="8">
        <f t="shared" si="4"/>
        <v>0.40285605074496655</v>
      </c>
      <c r="Q26" s="9">
        <f t="shared" si="5"/>
        <v>0.36435230905957516</v>
      </c>
    </row>
    <row r="27" spans="1:17" x14ac:dyDescent="0.3">
      <c r="A27" s="1" t="s">
        <v>21</v>
      </c>
      <c r="B27" s="1" t="s">
        <v>12</v>
      </c>
      <c r="C27" s="10">
        <v>7.3500648915439896E-3</v>
      </c>
      <c r="D27" s="10">
        <v>0.98531449351031297</v>
      </c>
      <c r="E27" s="3">
        <v>386</v>
      </c>
      <c r="F27" s="10">
        <v>9.3958151293819694E-2</v>
      </c>
      <c r="G27" s="10">
        <v>0.321654313883105</v>
      </c>
      <c r="H27" s="2">
        <v>1.19547912600194</v>
      </c>
      <c r="I27" s="2">
        <v>0.193</v>
      </c>
      <c r="J27" s="2">
        <v>0.36076114489084599</v>
      </c>
      <c r="K27" s="2">
        <v>0.28422921955500102</v>
      </c>
      <c r="L27" s="6">
        <f t="shared" si="0"/>
        <v>7.9204826761103339E-2</v>
      </c>
      <c r="M27" s="7">
        <f t="shared" si="1"/>
        <v>0.17390296806130803</v>
      </c>
      <c r="N27" s="7">
        <f t="shared" si="2"/>
        <v>0.44506655191316224</v>
      </c>
      <c r="O27" s="7">
        <f t="shared" si="3"/>
        <v>0.37905758924545335</v>
      </c>
      <c r="P27" s="8">
        <f t="shared" si="4"/>
        <v>0.6209424107545467</v>
      </c>
      <c r="Q27" s="9">
        <f t="shared" si="5"/>
        <v>0.3257203034954711</v>
      </c>
    </row>
    <row r="28" spans="1:17" hidden="1" x14ac:dyDescent="0.3">
      <c r="A28" s="1" t="s">
        <v>21</v>
      </c>
      <c r="B28" s="1" t="s">
        <v>13</v>
      </c>
      <c r="C28" s="10">
        <v>2.16791739530697E-3</v>
      </c>
      <c r="D28" s="10">
        <v>1.0112757160342201</v>
      </c>
      <c r="E28" s="3">
        <v>386</v>
      </c>
      <c r="F28" s="10">
        <v>0.124299992235539</v>
      </c>
      <c r="G28" s="10">
        <v>0.27036106324325498</v>
      </c>
      <c r="H28" s="2">
        <v>1.22686164098469</v>
      </c>
      <c r="I28" s="2">
        <v>0.193</v>
      </c>
      <c r="J28" s="2">
        <v>0.40848171565041302</v>
      </c>
      <c r="K28" s="2">
        <v>0.25589094190584999</v>
      </c>
      <c r="L28" s="6">
        <f t="shared" si="0"/>
        <v>6.1695636351968647E-2</v>
      </c>
      <c r="M28" s="7">
        <f t="shared" si="1"/>
        <v>0.18074983726763721</v>
      </c>
      <c r="N28" s="7">
        <f t="shared" si="2"/>
        <v>0.45555347555360048</v>
      </c>
      <c r="O28" s="7">
        <f t="shared" si="3"/>
        <v>0.29765278072366558</v>
      </c>
      <c r="P28" s="8">
        <f t="shared" si="4"/>
        <v>0.70234721927633448</v>
      </c>
      <c r="Q28" s="9">
        <f t="shared" si="5"/>
        <v>0.34369956497203191</v>
      </c>
    </row>
    <row r="29" spans="1:17" hidden="1" x14ac:dyDescent="0.3">
      <c r="A29" s="1" t="s">
        <v>21</v>
      </c>
      <c r="B29" s="1" t="s">
        <v>14</v>
      </c>
      <c r="C29" s="10">
        <v>0.13058994979159699</v>
      </c>
      <c r="D29" s="10">
        <v>1.35758575051776</v>
      </c>
      <c r="E29" s="3">
        <v>354</v>
      </c>
      <c r="F29" s="10">
        <v>0.56522468020213301</v>
      </c>
      <c r="G29" s="10">
        <v>0.29711110618591702</v>
      </c>
      <c r="H29" s="2">
        <v>1.62112815044682</v>
      </c>
      <c r="I29" s="2">
        <v>0.17699999999999999</v>
      </c>
      <c r="J29" s="2">
        <v>0.83473496554037596</v>
      </c>
      <c r="K29" s="2">
        <v>0.24215399493658099</v>
      </c>
      <c r="L29" s="6">
        <f t="shared" si="0"/>
        <v>0.49560181512968354</v>
      </c>
      <c r="M29" s="7">
        <f t="shared" si="1"/>
        <v>0.27208372991327895</v>
      </c>
      <c r="N29" s="7">
        <f t="shared" si="2"/>
        <v>0.60794843216718908</v>
      </c>
      <c r="O29" s="7">
        <f t="shared" si="3"/>
        <v>0.34010636080551027</v>
      </c>
      <c r="P29" s="8">
        <f t="shared" si="4"/>
        <v>0.65989363919448973</v>
      </c>
      <c r="Q29" s="9">
        <f t="shared" si="5"/>
        <v>0.49510873948897505</v>
      </c>
    </row>
    <row r="30" spans="1:17" x14ac:dyDescent="0.3">
      <c r="A30" s="1" t="s">
        <v>21</v>
      </c>
      <c r="B30" s="1" t="s">
        <v>15</v>
      </c>
      <c r="C30" s="10">
        <v>5.2885376078247101E-2</v>
      </c>
      <c r="D30" s="10">
        <v>4.1176204024174998</v>
      </c>
      <c r="E30" s="3">
        <v>137</v>
      </c>
      <c r="F30" s="10">
        <v>1.61788567184844</v>
      </c>
      <c r="G30" s="10">
        <v>0.29209692484997901</v>
      </c>
      <c r="H30" s="2">
        <v>4.4116679898189002</v>
      </c>
      <c r="I30" s="2">
        <v>6.8500000000000005E-2</v>
      </c>
      <c r="J30" s="2">
        <v>1.69217715645952</v>
      </c>
      <c r="K30" s="2">
        <v>0.282039210771108</v>
      </c>
      <c r="L30" s="6">
        <f t="shared" si="0"/>
        <v>0.23305734340331208</v>
      </c>
      <c r="M30" s="7">
        <f t="shared" si="1"/>
        <v>1</v>
      </c>
      <c r="N30" s="7">
        <f t="shared" si="2"/>
        <v>0.97177525005430665</v>
      </c>
      <c r="O30" s="7">
        <f t="shared" si="3"/>
        <v>0.33214861848164123</v>
      </c>
      <c r="P30" s="8">
        <f t="shared" si="4"/>
        <v>0.66785138151835877</v>
      </c>
      <c r="Q30" s="9">
        <f t="shared" si="5"/>
        <v>0.77171432000062612</v>
      </c>
    </row>
    <row r="31" spans="1:17" x14ac:dyDescent="0.3">
      <c r="A31" s="1" t="s">
        <v>21</v>
      </c>
      <c r="B31" s="1" t="s">
        <v>16</v>
      </c>
      <c r="C31" s="10">
        <v>3.7401739289903299E-2</v>
      </c>
      <c r="D31" s="10">
        <v>0.92157077301224399</v>
      </c>
      <c r="E31" s="3">
        <v>358</v>
      </c>
      <c r="F31" s="10">
        <v>-1.3377176925446601E-2</v>
      </c>
      <c r="G31" s="10">
        <v>0.31336772735884599</v>
      </c>
      <c r="H31" s="2">
        <v>1.1025843662178301</v>
      </c>
      <c r="I31" s="2">
        <v>0.17899999999999999</v>
      </c>
      <c r="J31" s="2">
        <v>0.25183635124291098</v>
      </c>
      <c r="K31" s="2">
        <v>0.28863722860506902</v>
      </c>
      <c r="L31" s="6">
        <f t="shared" si="0"/>
        <v>0.18074197705184172</v>
      </c>
      <c r="M31" s="7">
        <f t="shared" si="1"/>
        <v>0.15709155185880946</v>
      </c>
      <c r="N31" s="7">
        <f t="shared" si="2"/>
        <v>0.40796869113672124</v>
      </c>
      <c r="O31" s="7">
        <f t="shared" si="3"/>
        <v>0.3659063855121798</v>
      </c>
      <c r="P31" s="8">
        <f t="shared" si="4"/>
        <v>0.6340936144878202</v>
      </c>
      <c r="Q31" s="9">
        <f t="shared" si="5"/>
        <v>0.33248519120659159</v>
      </c>
    </row>
    <row r="32" spans="1:17" x14ac:dyDescent="0.3">
      <c r="A32" s="1" t="s">
        <v>22</v>
      </c>
      <c r="B32" s="1" t="s">
        <v>12</v>
      </c>
      <c r="C32" s="10">
        <v>5.1401471950853199E-2</v>
      </c>
      <c r="D32" s="10">
        <v>1.12767299466104</v>
      </c>
      <c r="E32" s="3">
        <v>302</v>
      </c>
      <c r="F32" s="10">
        <v>0.32011056772799801</v>
      </c>
      <c r="G32" s="10">
        <v>0.16566828835504399</v>
      </c>
      <c r="H32" s="2">
        <v>1.31177109401976</v>
      </c>
      <c r="I32" s="2">
        <v>0.151</v>
      </c>
      <c r="J32" s="2">
        <v>0.62447113628247097</v>
      </c>
      <c r="K32" s="2">
        <v>0.12944709704953999</v>
      </c>
      <c r="L32" s="6">
        <f t="shared" si="0"/>
        <v>0.22804359959646223</v>
      </c>
      <c r="M32" s="7">
        <f t="shared" si="1"/>
        <v>0.21144781160211212</v>
      </c>
      <c r="N32" s="7">
        <f t="shared" si="2"/>
        <v>0.52323066617377267</v>
      </c>
      <c r="O32" s="7">
        <f t="shared" si="3"/>
        <v>0.1315004081000386</v>
      </c>
      <c r="P32" s="8">
        <f t="shared" si="4"/>
        <v>0.8684995918999614</v>
      </c>
      <c r="Q32" s="9">
        <f t="shared" si="5"/>
        <v>0.43971218163205017</v>
      </c>
    </row>
    <row r="33" spans="1:17" hidden="1" x14ac:dyDescent="0.3">
      <c r="A33" s="1" t="s">
        <v>22</v>
      </c>
      <c r="B33" s="1" t="s">
        <v>13</v>
      </c>
      <c r="C33" s="10">
        <v>5.7505704950309697E-2</v>
      </c>
      <c r="D33" s="10">
        <v>1.1539510349958499</v>
      </c>
      <c r="E33" s="3">
        <v>308</v>
      </c>
      <c r="F33" s="10">
        <v>0.36520698175181598</v>
      </c>
      <c r="G33" s="10">
        <v>0.16614121525933401</v>
      </c>
      <c r="H33" s="2">
        <v>1.34637548043009</v>
      </c>
      <c r="I33" s="2">
        <v>0.154</v>
      </c>
      <c r="J33" s="2">
        <v>0.67424255027660396</v>
      </c>
      <c r="K33" s="2">
        <v>0.12944709704953999</v>
      </c>
      <c r="L33" s="6">
        <f t="shared" si="0"/>
        <v>0.24866828809998662</v>
      </c>
      <c r="M33" s="7">
        <f t="shared" si="1"/>
        <v>0.21837823658519603</v>
      </c>
      <c r="N33" s="7">
        <f t="shared" si="2"/>
        <v>0.53881715122699525</v>
      </c>
      <c r="O33" s="7">
        <f t="shared" si="3"/>
        <v>0.13225096540744818</v>
      </c>
      <c r="P33" s="8">
        <f t="shared" si="4"/>
        <v>0.86774903459255182</v>
      </c>
      <c r="Q33" s="9">
        <f t="shared" si="5"/>
        <v>0.45044208088216509</v>
      </c>
    </row>
    <row r="34" spans="1:17" hidden="1" x14ac:dyDescent="0.3">
      <c r="A34" s="1" t="s">
        <v>22</v>
      </c>
      <c r="B34" s="1" t="s">
        <v>14</v>
      </c>
      <c r="C34" s="10">
        <v>0.10166180835843799</v>
      </c>
      <c r="D34" s="10">
        <v>1.5113525689834599</v>
      </c>
      <c r="E34" s="3">
        <v>355</v>
      </c>
      <c r="F34" s="10">
        <v>0.865758408765397</v>
      </c>
      <c r="G34" s="10">
        <v>0.15156540751251699</v>
      </c>
      <c r="H34" s="2">
        <v>1.80504759482914</v>
      </c>
      <c r="I34" s="2">
        <v>0.17749999999999999</v>
      </c>
      <c r="J34" s="2">
        <v>1.2042727890138201</v>
      </c>
      <c r="K34" s="2">
        <v>0.14684950132972999</v>
      </c>
      <c r="L34" s="6">
        <f t="shared" si="0"/>
        <v>0.39786080391698503</v>
      </c>
      <c r="M34" s="7">
        <f t="shared" si="1"/>
        <v>0.31263733994988235</v>
      </c>
      <c r="N34" s="7">
        <f t="shared" si="2"/>
        <v>0.7118206483874534</v>
      </c>
      <c r="O34" s="7">
        <f t="shared" si="3"/>
        <v>0.10911847090030145</v>
      </c>
      <c r="P34" s="8">
        <f t="shared" si="4"/>
        <v>0.89088152909969853</v>
      </c>
      <c r="Q34" s="9">
        <f t="shared" si="5"/>
        <v>0.56508586310453746</v>
      </c>
    </row>
    <row r="35" spans="1:17" x14ac:dyDescent="0.3">
      <c r="A35" s="1" t="s">
        <v>22</v>
      </c>
      <c r="B35" s="1" t="s">
        <v>15</v>
      </c>
      <c r="C35" s="10">
        <v>9.9728554246682005E-2</v>
      </c>
      <c r="D35" s="10">
        <v>1.48349150874698</v>
      </c>
      <c r="E35" s="3">
        <v>379</v>
      </c>
      <c r="F35" s="10">
        <v>0.81739454232747</v>
      </c>
      <c r="G35" s="10">
        <v>0.15156540751251699</v>
      </c>
      <c r="H35" s="2">
        <v>1.7932282989424799</v>
      </c>
      <c r="I35" s="2">
        <v>0.1895</v>
      </c>
      <c r="J35" s="2">
        <v>1.17188616084605</v>
      </c>
      <c r="K35" s="2">
        <v>0.14684950132972899</v>
      </c>
      <c r="L35" s="6">
        <f t="shared" si="0"/>
        <v>0.39132881802184061</v>
      </c>
      <c r="M35" s="7">
        <f t="shared" si="1"/>
        <v>0.30528941805548121</v>
      </c>
      <c r="N35" s="7">
        <f t="shared" si="2"/>
        <v>0.69510484741594669</v>
      </c>
      <c r="O35" s="7">
        <f t="shared" si="3"/>
        <v>0.10911847090030145</v>
      </c>
      <c r="P35" s="8">
        <f t="shared" si="4"/>
        <v>0.89088152909969853</v>
      </c>
      <c r="Q35" s="9">
        <f t="shared" si="5"/>
        <v>0.55656034906573615</v>
      </c>
    </row>
    <row r="36" spans="1:17" x14ac:dyDescent="0.3">
      <c r="A36" s="1" t="s">
        <v>22</v>
      </c>
      <c r="B36" s="1" t="s">
        <v>16</v>
      </c>
      <c r="C36" s="10">
        <v>8.5100655723708701E-2</v>
      </c>
      <c r="D36" s="10">
        <v>1.2991134817735599</v>
      </c>
      <c r="E36" s="3">
        <v>298</v>
      </c>
      <c r="F36" s="10">
        <v>0.602799735020215</v>
      </c>
      <c r="G36" s="10">
        <v>0.150402357264319</v>
      </c>
      <c r="H36" s="2">
        <v>1.5081364220859701</v>
      </c>
      <c r="I36" s="2">
        <v>0.14899999999999999</v>
      </c>
      <c r="J36" s="2">
        <v>0.90344173648542903</v>
      </c>
      <c r="K36" s="2">
        <v>0.139626795930655</v>
      </c>
      <c r="L36" s="6">
        <f t="shared" si="0"/>
        <v>0.34190477891252896</v>
      </c>
      <c r="M36" s="7">
        <f t="shared" si="1"/>
        <v>0.25666257723373193</v>
      </c>
      <c r="N36" s="7">
        <f t="shared" si="2"/>
        <v>0.62093534128122052</v>
      </c>
      <c r="O36" s="7">
        <f t="shared" si="3"/>
        <v>0.10727265528957822</v>
      </c>
      <c r="P36" s="8">
        <f t="shared" si="4"/>
        <v>0.89272734471042181</v>
      </c>
      <c r="Q36" s="9">
        <f t="shared" si="5"/>
        <v>0.51020580027907581</v>
      </c>
    </row>
    <row r="37" spans="1:17" x14ac:dyDescent="0.3">
      <c r="A37" s="1" t="s">
        <v>23</v>
      </c>
      <c r="B37" s="1" t="s">
        <v>12</v>
      </c>
      <c r="C37" s="10">
        <v>0.221794813082377</v>
      </c>
      <c r="D37" s="10">
        <v>1.27803186086283</v>
      </c>
      <c r="E37" s="3">
        <v>385</v>
      </c>
      <c r="F37" s="10">
        <v>0.520009987543399</v>
      </c>
      <c r="G37" s="10">
        <v>0.223303595674162</v>
      </c>
      <c r="H37" s="2">
        <v>1.54994671575159</v>
      </c>
      <c r="I37" s="2">
        <v>0.1925</v>
      </c>
      <c r="J37" s="2">
        <v>0.86098609338020504</v>
      </c>
      <c r="K37" s="2">
        <v>0.191048621039973</v>
      </c>
      <c r="L37" s="6">
        <f t="shared" si="0"/>
        <v>0.80376041516122676</v>
      </c>
      <c r="M37" s="7">
        <f t="shared" si="1"/>
        <v>0.25110262716203324</v>
      </c>
      <c r="N37" s="7">
        <f t="shared" si="2"/>
        <v>0.59232106696384501</v>
      </c>
      <c r="O37" s="7">
        <f t="shared" si="3"/>
        <v>0.22297035975800816</v>
      </c>
      <c r="P37" s="8">
        <f t="shared" si="4"/>
        <v>0.77702964024199184</v>
      </c>
      <c r="Q37" s="9">
        <f t="shared" si="5"/>
        <v>0.56918511931840721</v>
      </c>
    </row>
    <row r="38" spans="1:17" hidden="1" x14ac:dyDescent="0.3">
      <c r="A38" s="1" t="s">
        <v>23</v>
      </c>
      <c r="B38" s="1" t="s">
        <v>13</v>
      </c>
      <c r="C38" s="10">
        <v>0.21997818909372199</v>
      </c>
      <c r="D38" s="10">
        <v>1.1937644790276001</v>
      </c>
      <c r="E38" s="3">
        <v>389</v>
      </c>
      <c r="F38" s="10">
        <v>0.40202040872491701</v>
      </c>
      <c r="G38" s="10">
        <v>0.219205936595325</v>
      </c>
      <c r="H38" s="2">
        <v>1.4506667076303199</v>
      </c>
      <c r="I38" s="2">
        <v>0.19450000000000001</v>
      </c>
      <c r="J38" s="2">
        <v>0.74827793816219901</v>
      </c>
      <c r="K38" s="2">
        <v>0.189062161903019</v>
      </c>
      <c r="L38" s="6">
        <f t="shared" si="0"/>
        <v>0.79762249350958347</v>
      </c>
      <c r="M38" s="7">
        <f t="shared" si="1"/>
        <v>0.22887841405903694</v>
      </c>
      <c r="N38" s="7">
        <f t="shared" si="2"/>
        <v>0.55154082209295574</v>
      </c>
      <c r="O38" s="7">
        <f t="shared" si="3"/>
        <v>0.21646718149304675</v>
      </c>
      <c r="P38" s="8">
        <f t="shared" si="4"/>
        <v>0.78353281850695322</v>
      </c>
      <c r="Q38" s="9">
        <f t="shared" si="5"/>
        <v>0.55035683324890516</v>
      </c>
    </row>
    <row r="39" spans="1:17" hidden="1" x14ac:dyDescent="0.3">
      <c r="A39" s="1" t="s">
        <v>23</v>
      </c>
      <c r="B39" s="1" t="s">
        <v>14</v>
      </c>
      <c r="C39" s="10">
        <v>0.21255173546956899</v>
      </c>
      <c r="D39" s="10">
        <v>1.8148186033326701</v>
      </c>
      <c r="E39" s="3">
        <v>363</v>
      </c>
      <c r="F39" s="10">
        <v>1.0155963471696501</v>
      </c>
      <c r="G39" s="10">
        <v>0.21078706494046601</v>
      </c>
      <c r="H39" s="2">
        <v>2.17711197614778</v>
      </c>
      <c r="I39" s="2">
        <v>0.18149999999999999</v>
      </c>
      <c r="J39" s="2">
        <v>1.2997298799152599</v>
      </c>
      <c r="K39" s="2">
        <v>0.196948222134852</v>
      </c>
      <c r="L39" s="6">
        <f t="shared" si="0"/>
        <v>0.77253034963210321</v>
      </c>
      <c r="M39" s="7">
        <f t="shared" si="1"/>
        <v>0.39267179302076716</v>
      </c>
      <c r="N39" s="7">
        <f t="shared" si="2"/>
        <v>0.7636085086397143</v>
      </c>
      <c r="O39" s="7">
        <f t="shared" si="3"/>
        <v>0.20310603501696708</v>
      </c>
      <c r="P39" s="8">
        <f t="shared" si="4"/>
        <v>0.79689396498303289</v>
      </c>
      <c r="Q39" s="9">
        <f t="shared" si="5"/>
        <v>0.6607689534211717</v>
      </c>
    </row>
    <row r="40" spans="1:17" x14ac:dyDescent="0.3">
      <c r="A40" s="1" t="s">
        <v>23</v>
      </c>
      <c r="B40" s="1" t="s">
        <v>15</v>
      </c>
      <c r="C40" s="10">
        <v>0.16613798330041499</v>
      </c>
      <c r="D40" s="10">
        <v>3.1793147394727601</v>
      </c>
      <c r="E40" s="3">
        <v>287</v>
      </c>
      <c r="F40" s="10">
        <v>1.6995484075405101</v>
      </c>
      <c r="G40" s="10">
        <v>0.177116189718553</v>
      </c>
      <c r="H40" s="2">
        <v>3.6720652222919501</v>
      </c>
      <c r="I40" s="2">
        <v>0.14349999999999999</v>
      </c>
      <c r="J40" s="2">
        <v>1.9049752179816599</v>
      </c>
      <c r="K40" s="2">
        <v>0.171018550964603</v>
      </c>
      <c r="L40" s="6">
        <f t="shared" si="0"/>
        <v>0.61570979890053501</v>
      </c>
      <c r="M40" s="7">
        <f t="shared" si="1"/>
        <v>0.75253645532969426</v>
      </c>
      <c r="N40" s="7">
        <f t="shared" si="2"/>
        <v>1</v>
      </c>
      <c r="O40" s="7">
        <f t="shared" si="3"/>
        <v>0.14966876761805978</v>
      </c>
      <c r="P40" s="8">
        <f t="shared" si="4"/>
        <v>0.85033123238194019</v>
      </c>
      <c r="Q40" s="9">
        <f t="shared" si="5"/>
        <v>0.81896914285540334</v>
      </c>
    </row>
    <row r="41" spans="1:17" x14ac:dyDescent="0.3">
      <c r="A41" s="1" t="s">
        <v>23</v>
      </c>
      <c r="B41" s="1" t="s">
        <v>16</v>
      </c>
      <c r="C41" s="10">
        <v>0.208764011252563</v>
      </c>
      <c r="D41" s="10">
        <v>1.3627275551310301</v>
      </c>
      <c r="E41" s="3">
        <v>383</v>
      </c>
      <c r="F41" s="10">
        <v>0.66187136532843904</v>
      </c>
      <c r="G41" s="10">
        <v>0.18618030297273799</v>
      </c>
      <c r="H41" s="2">
        <v>1.65098487677629</v>
      </c>
      <c r="I41" s="2">
        <v>0.1915</v>
      </c>
      <c r="J41" s="2">
        <v>1.0242562062498399</v>
      </c>
      <c r="K41" s="2">
        <v>0.151992649718308</v>
      </c>
      <c r="L41" s="6">
        <f t="shared" si="0"/>
        <v>0.75973256944907952</v>
      </c>
      <c r="M41" s="7">
        <f t="shared" si="1"/>
        <v>0.27343980101660015</v>
      </c>
      <c r="N41" s="7">
        <f t="shared" si="2"/>
        <v>0.64135202191534679</v>
      </c>
      <c r="O41" s="7">
        <f t="shared" si="3"/>
        <v>0.16405394295150763</v>
      </c>
      <c r="P41" s="8">
        <f t="shared" si="4"/>
        <v>0.83594605704849234</v>
      </c>
      <c r="Q41" s="9">
        <f t="shared" si="5"/>
        <v>0.5935732721790985</v>
      </c>
    </row>
    <row r="42" spans="1:17" x14ac:dyDescent="0.3">
      <c r="A42" s="1" t="s">
        <v>24</v>
      </c>
      <c r="B42" s="1" t="s">
        <v>12</v>
      </c>
      <c r="C42" s="10">
        <v>4.5729605461328197E-2</v>
      </c>
      <c r="D42" s="10">
        <v>1.1331711168431899</v>
      </c>
      <c r="E42" s="3">
        <v>367</v>
      </c>
      <c r="F42" s="10">
        <v>0.28909836152983198</v>
      </c>
      <c r="G42" s="10">
        <v>0.31651621807694302</v>
      </c>
      <c r="H42" s="2">
        <v>1.3619077344777</v>
      </c>
      <c r="I42" s="2">
        <v>0.1835</v>
      </c>
      <c r="J42" s="2">
        <v>0.54855037691618203</v>
      </c>
      <c r="K42" s="2">
        <v>0.28634741078417503</v>
      </c>
      <c r="L42" s="6">
        <f t="shared" si="0"/>
        <v>0.20887977023568147</v>
      </c>
      <c r="M42" s="7">
        <f t="shared" si="1"/>
        <v>0.21289785592983712</v>
      </c>
      <c r="N42" s="7">
        <f t="shared" si="2"/>
        <v>0.51251204699221464</v>
      </c>
      <c r="O42" s="7">
        <f t="shared" si="3"/>
        <v>0.37090318881168044</v>
      </c>
      <c r="P42" s="8">
        <f t="shared" si="4"/>
        <v>0.6290968111883195</v>
      </c>
      <c r="Q42" s="9">
        <f t="shared" si="5"/>
        <v>0.38521828716141571</v>
      </c>
    </row>
    <row r="43" spans="1:17" hidden="1" x14ac:dyDescent="0.3">
      <c r="A43" s="1" t="s">
        <v>24</v>
      </c>
      <c r="B43" s="1" t="s">
        <v>13</v>
      </c>
      <c r="C43" s="10">
        <v>4.5907868760496698E-2</v>
      </c>
      <c r="D43" s="10">
        <v>1.1276697305102901</v>
      </c>
      <c r="E43" s="3">
        <v>371</v>
      </c>
      <c r="F43" s="10">
        <v>0.28229349991105801</v>
      </c>
      <c r="G43" s="10">
        <v>0.31651621807694302</v>
      </c>
      <c r="H43" s="2">
        <v>1.3580179178074301</v>
      </c>
      <c r="I43" s="2">
        <v>0.1855</v>
      </c>
      <c r="J43" s="2">
        <v>0.54475692596708902</v>
      </c>
      <c r="K43" s="2">
        <v>0.28634741078417503</v>
      </c>
      <c r="L43" s="6">
        <f t="shared" si="0"/>
        <v>0.20948207768647639</v>
      </c>
      <c r="M43" s="7">
        <f t="shared" si="1"/>
        <v>0.2114469507330512</v>
      </c>
      <c r="N43" s="7">
        <f t="shared" si="2"/>
        <v>0.51016011111868276</v>
      </c>
      <c r="O43" s="7">
        <f t="shared" si="3"/>
        <v>0.37090318881168044</v>
      </c>
      <c r="P43" s="8">
        <f t="shared" si="4"/>
        <v>0.6290968111883195</v>
      </c>
      <c r="Q43" s="9">
        <f t="shared" si="5"/>
        <v>0.3841978963304794</v>
      </c>
    </row>
    <row r="44" spans="1:17" hidden="1" x14ac:dyDescent="0.3">
      <c r="A44" s="1" t="s">
        <v>24</v>
      </c>
      <c r="B44" s="1" t="s">
        <v>14</v>
      </c>
      <c r="C44" s="10">
        <v>0.14762162859681399</v>
      </c>
      <c r="D44" s="10">
        <v>1.4693177847746901</v>
      </c>
      <c r="E44" s="3">
        <v>393</v>
      </c>
      <c r="F44" s="10">
        <v>0.71163042547101696</v>
      </c>
      <c r="G44" s="10">
        <v>0.15024008954350601</v>
      </c>
      <c r="H44" s="2">
        <v>1.7890002170993899</v>
      </c>
      <c r="I44" s="2">
        <v>0.19650000000000001</v>
      </c>
      <c r="J44" s="2">
        <v>1.02806357419628</v>
      </c>
      <c r="K44" s="2">
        <v>0.12930471737143701</v>
      </c>
      <c r="L44" s="6">
        <f t="shared" si="0"/>
        <v>0.55314763130035649</v>
      </c>
      <c r="M44" s="7">
        <f t="shared" si="1"/>
        <v>0.30155131850660533</v>
      </c>
      <c r="N44" s="7">
        <f t="shared" si="2"/>
        <v>0.65855003785437638</v>
      </c>
      <c r="O44" s="7">
        <f t="shared" si="3"/>
        <v>0.10701512876167699</v>
      </c>
      <c r="P44" s="8">
        <f t="shared" si="4"/>
        <v>0.89298487123832304</v>
      </c>
      <c r="Q44" s="9">
        <f t="shared" si="5"/>
        <v>0.57725690741603042</v>
      </c>
    </row>
    <row r="45" spans="1:17" x14ac:dyDescent="0.3">
      <c r="A45" s="1" t="s">
        <v>24</v>
      </c>
      <c r="B45" s="1" t="s">
        <v>15</v>
      </c>
      <c r="C45" s="10">
        <v>9.8456721760735305E-2</v>
      </c>
      <c r="D45" s="10">
        <v>0.97872383351934999</v>
      </c>
      <c r="E45" s="3">
        <v>118</v>
      </c>
      <c r="F45" s="10">
        <v>-3.0365584653830598E-2</v>
      </c>
      <c r="G45" s="10">
        <v>0.17306848060300001</v>
      </c>
      <c r="H45" s="2">
        <v>1.0382745496330701</v>
      </c>
      <c r="I45" s="2">
        <v>5.8999999999999997E-2</v>
      </c>
      <c r="J45" s="2">
        <v>0.17688367694603599</v>
      </c>
      <c r="K45" s="2">
        <v>0.15674009808866199</v>
      </c>
      <c r="L45" s="6">
        <f t="shared" si="0"/>
        <v>0.3870316116646047</v>
      </c>
      <c r="M45" s="7">
        <f t="shared" si="1"/>
        <v>0.17216478385600126</v>
      </c>
      <c r="N45" s="7">
        <f t="shared" si="2"/>
        <v>0.40209705879370039</v>
      </c>
      <c r="O45" s="7">
        <f t="shared" si="3"/>
        <v>0.14324486230121691</v>
      </c>
      <c r="P45" s="8">
        <f t="shared" si="4"/>
        <v>0.85675513769878309</v>
      </c>
      <c r="Q45" s="9">
        <f t="shared" si="5"/>
        <v>0.42103590266758806</v>
      </c>
    </row>
    <row r="46" spans="1:17" x14ac:dyDescent="0.3">
      <c r="A46" s="1" t="s">
        <v>24</v>
      </c>
      <c r="B46" s="1" t="s">
        <v>16</v>
      </c>
      <c r="C46" s="10">
        <v>4.5379398215467097E-2</v>
      </c>
      <c r="D46" s="10">
        <v>1.37157040140145</v>
      </c>
      <c r="E46" s="3">
        <v>391</v>
      </c>
      <c r="F46" s="10">
        <v>0.55664528308761596</v>
      </c>
      <c r="G46" s="10">
        <v>0.270825480832877</v>
      </c>
      <c r="H46" s="2">
        <v>1.66814325053693</v>
      </c>
      <c r="I46" s="2">
        <v>0.19550000000000001</v>
      </c>
      <c r="J46" s="2">
        <v>0.83262250315598396</v>
      </c>
      <c r="K46" s="2">
        <v>0.22735138857388601</v>
      </c>
      <c r="L46" s="6">
        <f t="shared" si="0"/>
        <v>0.20769650685792287</v>
      </c>
      <c r="M46" s="7">
        <f t="shared" si="1"/>
        <v>0.27577196437175366</v>
      </c>
      <c r="N46" s="7">
        <f t="shared" si="2"/>
        <v>0.60498317100871968</v>
      </c>
      <c r="O46" s="7">
        <f t="shared" si="3"/>
        <v>0.29838983334727054</v>
      </c>
      <c r="P46" s="8">
        <f t="shared" si="4"/>
        <v>0.70161016665272946</v>
      </c>
      <c r="Q46" s="9">
        <f t="shared" si="5"/>
        <v>0.44608787531627248</v>
      </c>
    </row>
    <row r="47" spans="1:17" x14ac:dyDescent="0.3">
      <c r="A47" s="1" t="s">
        <v>25</v>
      </c>
      <c r="B47" s="1" t="s">
        <v>12</v>
      </c>
      <c r="C47" s="10">
        <v>8.5770772364279296E-2</v>
      </c>
      <c r="D47" s="10">
        <v>0.87556615519723202</v>
      </c>
      <c r="E47" s="3">
        <v>426</v>
      </c>
      <c r="F47" s="10">
        <v>-0.25087709787727702</v>
      </c>
      <c r="G47" s="10">
        <v>0.280255692248772</v>
      </c>
      <c r="H47" s="2">
        <v>1.0836423686849599</v>
      </c>
      <c r="I47" s="2">
        <v>0.21299999999999999</v>
      </c>
      <c r="J47" s="2">
        <v>0.25856365209229998</v>
      </c>
      <c r="K47" s="2">
        <v>0.20746723952234</v>
      </c>
      <c r="L47" s="6">
        <f t="shared" si="0"/>
        <v>0.34416893674759641</v>
      </c>
      <c r="M47" s="7">
        <f t="shared" si="1"/>
        <v>0.1449585484620517</v>
      </c>
      <c r="N47" s="7">
        <f t="shared" si="2"/>
        <v>0.32588258632798561</v>
      </c>
      <c r="O47" s="7">
        <f t="shared" si="3"/>
        <v>0.31335602373401333</v>
      </c>
      <c r="P47" s="8">
        <f t="shared" si="4"/>
        <v>0.68664397626598661</v>
      </c>
      <c r="Q47" s="9">
        <f t="shared" si="5"/>
        <v>0.34741492303972776</v>
      </c>
    </row>
    <row r="48" spans="1:17" hidden="1" x14ac:dyDescent="0.3">
      <c r="A48" s="1" t="s">
        <v>25</v>
      </c>
      <c r="B48" s="1" t="s">
        <v>13</v>
      </c>
      <c r="C48" s="10">
        <v>8.5764338730234896E-2</v>
      </c>
      <c r="D48" s="10">
        <v>0.88430500076523999</v>
      </c>
      <c r="E48" s="3">
        <v>424</v>
      </c>
      <c r="F48" s="10">
        <v>-0.22290903885610999</v>
      </c>
      <c r="G48" s="10">
        <v>0.29357880964530503</v>
      </c>
      <c r="H48" s="2">
        <v>1.0933399260099399</v>
      </c>
      <c r="I48" s="2">
        <v>0.21199999999999999</v>
      </c>
      <c r="J48" s="2">
        <v>0.27811990532304798</v>
      </c>
      <c r="K48" s="2">
        <v>0.22016865625113299</v>
      </c>
      <c r="L48" s="6">
        <f t="shared" si="0"/>
        <v>0.34414719909470487</v>
      </c>
      <c r="M48" s="7">
        <f t="shared" si="1"/>
        <v>0.14726328324730154</v>
      </c>
      <c r="N48" s="7">
        <f t="shared" si="2"/>
        <v>0.3355490696468329</v>
      </c>
      <c r="O48" s="7">
        <f t="shared" si="3"/>
        <v>0.3345004395596593</v>
      </c>
      <c r="P48" s="8">
        <f t="shared" si="4"/>
        <v>0.66549956044034064</v>
      </c>
      <c r="Q48" s="9">
        <f t="shared" si="5"/>
        <v>0.34677305777524947</v>
      </c>
    </row>
    <row r="49" spans="1:17" hidden="1" x14ac:dyDescent="0.3">
      <c r="A49" s="1" t="s">
        <v>25</v>
      </c>
      <c r="B49" s="1" t="s">
        <v>14</v>
      </c>
      <c r="C49" s="10">
        <v>7.4117353139962996E-2</v>
      </c>
      <c r="D49" s="10">
        <v>1.0057740535727799</v>
      </c>
      <c r="E49" s="3">
        <v>328</v>
      </c>
      <c r="F49" s="10">
        <v>8.5876361027487205E-2</v>
      </c>
      <c r="G49" s="10">
        <v>0.18903038034813999</v>
      </c>
      <c r="H49" s="2">
        <v>1.1854035451821501</v>
      </c>
      <c r="I49" s="2">
        <v>0.16400000000000001</v>
      </c>
      <c r="J49" s="2">
        <v>0.44142374706941501</v>
      </c>
      <c r="K49" s="2">
        <v>0.17589880729527799</v>
      </c>
      <c r="L49" s="6">
        <f t="shared" si="0"/>
        <v>0.30479492505375932</v>
      </c>
      <c r="M49" s="7">
        <f t="shared" si="1"/>
        <v>0.1792988592462377</v>
      </c>
      <c r="N49" s="7">
        <f t="shared" si="2"/>
        <v>0.44227327652938253</v>
      </c>
      <c r="O49" s="7">
        <f t="shared" si="3"/>
        <v>0.16857715019851779</v>
      </c>
      <c r="P49" s="8">
        <f t="shared" si="4"/>
        <v>0.83142284980148218</v>
      </c>
      <c r="Q49" s="9">
        <f t="shared" si="5"/>
        <v>0.41371519570373438</v>
      </c>
    </row>
    <row r="50" spans="1:17" x14ac:dyDescent="0.3">
      <c r="A50" s="1" t="s">
        <v>25</v>
      </c>
      <c r="B50" s="1" t="s">
        <v>15</v>
      </c>
      <c r="C50" s="10">
        <v>0.116018114444377</v>
      </c>
      <c r="D50" s="10">
        <v>1.2120076403240101</v>
      </c>
      <c r="E50" s="3">
        <v>306</v>
      </c>
      <c r="F50" s="10">
        <v>0.48393785492589297</v>
      </c>
      <c r="G50" s="10">
        <v>0.16960869337745399</v>
      </c>
      <c r="H50" s="2">
        <v>1.4128314669225801</v>
      </c>
      <c r="I50" s="2">
        <v>0.153</v>
      </c>
      <c r="J50" s="2">
        <v>0.81411817590174296</v>
      </c>
      <c r="K50" s="2">
        <v>0.127164372959369</v>
      </c>
      <c r="L50" s="6">
        <f t="shared" si="0"/>
        <v>0.44636719957883259</v>
      </c>
      <c r="M50" s="7">
        <f t="shared" si="1"/>
        <v>0.2336897644949211</v>
      </c>
      <c r="N50" s="7">
        <f t="shared" si="2"/>
        <v>0.57985360656702334</v>
      </c>
      <c r="O50" s="7">
        <f t="shared" si="3"/>
        <v>0.1377540167589987</v>
      </c>
      <c r="P50" s="8">
        <f t="shared" si="4"/>
        <v>0.86224598324100132</v>
      </c>
      <c r="Q50" s="9">
        <f t="shared" si="5"/>
        <v>0.50578564788255009</v>
      </c>
    </row>
    <row r="51" spans="1:17" x14ac:dyDescent="0.3">
      <c r="A51" s="1" t="s">
        <v>25</v>
      </c>
      <c r="B51" s="1" t="s">
        <v>16</v>
      </c>
      <c r="C51" s="10">
        <v>5.3757355863663002E-2</v>
      </c>
      <c r="D51" s="10">
        <v>0.90692490186394104</v>
      </c>
      <c r="E51" s="3">
        <v>380</v>
      </c>
      <c r="F51" s="10">
        <v>-0.16616552228213899</v>
      </c>
      <c r="G51" s="10">
        <v>0.29692920526619798</v>
      </c>
      <c r="H51" s="2">
        <v>1.0969246818785101</v>
      </c>
      <c r="I51" s="2">
        <v>0.19</v>
      </c>
      <c r="J51" s="2">
        <v>0.28742560685506602</v>
      </c>
      <c r="K51" s="2">
        <v>0.22218663486093501</v>
      </c>
      <c r="L51" s="6">
        <f t="shared" si="0"/>
        <v>0.23600354671127463</v>
      </c>
      <c r="M51" s="7">
        <f t="shared" si="1"/>
        <v>0.15322893082573458</v>
      </c>
      <c r="N51" s="7">
        <f t="shared" si="2"/>
        <v>0.35516109406368279</v>
      </c>
      <c r="O51" s="7">
        <f t="shared" si="3"/>
        <v>0.33981767546475</v>
      </c>
      <c r="P51" s="8">
        <f t="shared" si="4"/>
        <v>0.66018232453525005</v>
      </c>
      <c r="Q51" s="9">
        <f t="shared" si="5"/>
        <v>0.33175418171613014</v>
      </c>
    </row>
    <row r="52" spans="1:17" x14ac:dyDescent="0.3">
      <c r="A52" s="1" t="s">
        <v>26</v>
      </c>
      <c r="B52" s="1" t="s">
        <v>12</v>
      </c>
      <c r="C52" s="10">
        <v>9.9316701334936794E-2</v>
      </c>
      <c r="D52" s="10">
        <v>1.27205410591015</v>
      </c>
      <c r="E52" s="3">
        <v>414</v>
      </c>
      <c r="F52" s="10">
        <v>0.59955718448777795</v>
      </c>
      <c r="G52" s="10">
        <v>0.22780062781899599</v>
      </c>
      <c r="H52" s="2">
        <v>1.56495174964145</v>
      </c>
      <c r="I52" s="2">
        <v>0.20699999999999999</v>
      </c>
      <c r="J52" s="2">
        <v>1.0577357040894999</v>
      </c>
      <c r="K52" s="2">
        <v>0.15278309956768099</v>
      </c>
      <c r="L52" s="6">
        <f t="shared" si="0"/>
        <v>0.38993726923679739</v>
      </c>
      <c r="M52" s="7">
        <f t="shared" si="1"/>
        <v>0.24952608714082294</v>
      </c>
      <c r="N52" s="7">
        <f t="shared" si="2"/>
        <v>0.61981463209619636</v>
      </c>
      <c r="O52" s="7">
        <f t="shared" si="3"/>
        <v>0.23010736191910977</v>
      </c>
      <c r="P52" s="8">
        <f t="shared" si="4"/>
        <v>0.76989263808089026</v>
      </c>
      <c r="Q52" s="9">
        <f t="shared" si="5"/>
        <v>0.49276819723464327</v>
      </c>
    </row>
    <row r="53" spans="1:17" hidden="1" x14ac:dyDescent="0.3">
      <c r="A53" s="1" t="s">
        <v>26</v>
      </c>
      <c r="B53" s="1" t="s">
        <v>13</v>
      </c>
      <c r="C53" s="10">
        <v>0.10273901932861799</v>
      </c>
      <c r="D53" s="10">
        <v>1.28897046733972</v>
      </c>
      <c r="E53" s="3">
        <v>416</v>
      </c>
      <c r="F53" s="10">
        <v>0.62368958232850802</v>
      </c>
      <c r="G53" s="10">
        <v>0.22438198781014901</v>
      </c>
      <c r="H53" s="2">
        <v>1.5873533611625801</v>
      </c>
      <c r="I53" s="2">
        <v>0.20799999999999999</v>
      </c>
      <c r="J53" s="2">
        <v>1.07962945322604</v>
      </c>
      <c r="K53" s="2">
        <v>0.150749461367505</v>
      </c>
      <c r="L53" s="6">
        <f t="shared" si="0"/>
        <v>0.40150043246892925</v>
      </c>
      <c r="M53" s="7">
        <f t="shared" si="1"/>
        <v>0.25398751471992087</v>
      </c>
      <c r="N53" s="7">
        <f t="shared" si="2"/>
        <v>0.62815541187625379</v>
      </c>
      <c r="O53" s="7">
        <f t="shared" si="3"/>
        <v>0.22468181895091069</v>
      </c>
      <c r="P53" s="8">
        <f t="shared" si="4"/>
        <v>0.77531818104908934</v>
      </c>
      <c r="Q53" s="9">
        <f t="shared" si="5"/>
        <v>0.50000660068245617</v>
      </c>
    </row>
    <row r="54" spans="1:17" hidden="1" x14ac:dyDescent="0.3">
      <c r="A54" s="1" t="s">
        <v>26</v>
      </c>
      <c r="B54" s="1" t="s">
        <v>14</v>
      </c>
      <c r="C54" s="10">
        <v>0.11952035750432501</v>
      </c>
      <c r="D54" s="10">
        <v>1.12431002908542</v>
      </c>
      <c r="E54" s="3">
        <v>396</v>
      </c>
      <c r="F54" s="10">
        <v>0.31410975137632702</v>
      </c>
      <c r="G54" s="10">
        <v>0.22615490612938199</v>
      </c>
      <c r="H54" s="2">
        <v>1.37094157541977</v>
      </c>
      <c r="I54" s="2">
        <v>0.19800000000000001</v>
      </c>
      <c r="J54" s="2">
        <v>0.71457540347060999</v>
      </c>
      <c r="K54" s="2">
        <v>0.18917796763780001</v>
      </c>
      <c r="L54" s="6">
        <f t="shared" si="0"/>
        <v>0.45820040977600052</v>
      </c>
      <c r="M54" s="7">
        <f t="shared" si="1"/>
        <v>0.21056088166572512</v>
      </c>
      <c r="N54" s="7">
        <f t="shared" si="2"/>
        <v>0.52115662910459337</v>
      </c>
      <c r="O54" s="7">
        <f t="shared" si="3"/>
        <v>0.22749552396085998</v>
      </c>
      <c r="P54" s="8">
        <f t="shared" si="4"/>
        <v>0.77250447603913996</v>
      </c>
      <c r="Q54" s="9">
        <f t="shared" si="5"/>
        <v>0.46565623039412368</v>
      </c>
    </row>
    <row r="55" spans="1:17" x14ac:dyDescent="0.3">
      <c r="A55" s="1" t="s">
        <v>26</v>
      </c>
      <c r="B55" s="1" t="s">
        <v>15</v>
      </c>
      <c r="C55" s="10">
        <v>0.110761183504828</v>
      </c>
      <c r="D55" s="10">
        <v>1.0268456652859299</v>
      </c>
      <c r="E55" s="3">
        <v>374</v>
      </c>
      <c r="F55" s="10">
        <v>0.13028804925429999</v>
      </c>
      <c r="G55" s="10">
        <v>0.18290865246033899</v>
      </c>
      <c r="H55" s="2">
        <v>1.23822926921011</v>
      </c>
      <c r="I55" s="2">
        <v>0.187</v>
      </c>
      <c r="J55" s="2">
        <v>0.55013131623968803</v>
      </c>
      <c r="K55" s="2">
        <v>0.11539461294006199</v>
      </c>
      <c r="L55" s="6">
        <f t="shared" si="0"/>
        <v>0.42860533447270194</v>
      </c>
      <c r="M55" s="7">
        <f t="shared" si="1"/>
        <v>0.18485616954753928</v>
      </c>
      <c r="N55" s="7">
        <f t="shared" si="2"/>
        <v>0.45762310266788653</v>
      </c>
      <c r="O55" s="7">
        <f t="shared" si="3"/>
        <v>0.15886167924839309</v>
      </c>
      <c r="P55" s="8">
        <f t="shared" si="4"/>
        <v>0.84113832075160688</v>
      </c>
      <c r="Q55" s="9">
        <f t="shared" si="5"/>
        <v>0.44669251270948951</v>
      </c>
    </row>
    <row r="56" spans="1:17" x14ac:dyDescent="0.3">
      <c r="A56" s="1" t="s">
        <v>26</v>
      </c>
      <c r="B56" s="1" t="s">
        <v>16</v>
      </c>
      <c r="C56" s="10">
        <v>0.100683630671247</v>
      </c>
      <c r="D56" s="10">
        <v>1.33317523861051</v>
      </c>
      <c r="E56" s="3">
        <v>424</v>
      </c>
      <c r="F56" s="10">
        <v>0.68815192871790498</v>
      </c>
      <c r="G56" s="10">
        <v>0.22870131638773999</v>
      </c>
      <c r="H56" s="2">
        <v>1.64838191927161</v>
      </c>
      <c r="I56" s="2">
        <v>0.21199999999999999</v>
      </c>
      <c r="J56" s="2">
        <v>1.14595097477955</v>
      </c>
      <c r="K56" s="2">
        <v>0.154624044110339</v>
      </c>
      <c r="L56" s="6">
        <f t="shared" si="0"/>
        <v>0.39455578425256388</v>
      </c>
      <c r="M56" s="7">
        <f t="shared" si="1"/>
        <v>0.26564583654617846</v>
      </c>
      <c r="N56" s="7">
        <f t="shared" si="2"/>
        <v>0.6504352631735949</v>
      </c>
      <c r="O56" s="7">
        <f t="shared" si="3"/>
        <v>0.23153679716764139</v>
      </c>
      <c r="P56" s="8">
        <f t="shared" si="4"/>
        <v>0.76846320283235858</v>
      </c>
      <c r="Q56" s="9">
        <f t="shared" si="5"/>
        <v>0.50742812733291653</v>
      </c>
    </row>
    <row r="57" spans="1:17" x14ac:dyDescent="0.3">
      <c r="A57" s="1" t="s">
        <v>27</v>
      </c>
      <c r="B57" s="1" t="s">
        <v>12</v>
      </c>
      <c r="C57" s="10">
        <v>0.20911322204532801</v>
      </c>
      <c r="D57" s="10">
        <v>1.1857920453606901</v>
      </c>
      <c r="E57" s="3">
        <v>389</v>
      </c>
      <c r="F57" s="10">
        <v>0.47404186996749398</v>
      </c>
      <c r="G57" s="10">
        <v>0.146962136075934</v>
      </c>
      <c r="H57" s="2">
        <v>1.4408084098809599</v>
      </c>
      <c r="I57" s="2">
        <v>0.19450000000000001</v>
      </c>
      <c r="J57" s="2">
        <v>0.94555604280914196</v>
      </c>
      <c r="K57" s="2">
        <v>0.12442536157659501</v>
      </c>
      <c r="L57" s="6">
        <f t="shared" si="0"/>
        <v>0.76091246605910212</v>
      </c>
      <c r="M57" s="7">
        <f t="shared" si="1"/>
        <v>0.22677580850865497</v>
      </c>
      <c r="N57" s="7">
        <f t="shared" si="2"/>
        <v>0.5764332986560764</v>
      </c>
      <c r="O57" s="7">
        <f t="shared" si="3"/>
        <v>0.10181286197136132</v>
      </c>
      <c r="P57" s="8">
        <f t="shared" si="4"/>
        <v>0.8981871380286387</v>
      </c>
      <c r="Q57" s="9">
        <f t="shared" si="5"/>
        <v>0.57278265296696762</v>
      </c>
    </row>
    <row r="58" spans="1:17" hidden="1" x14ac:dyDescent="0.3">
      <c r="A58" s="1" t="s">
        <v>27</v>
      </c>
      <c r="B58" s="1" t="s">
        <v>13</v>
      </c>
      <c r="C58" s="10">
        <v>0.209158040183611</v>
      </c>
      <c r="D58" s="10">
        <v>1.1857920453606901</v>
      </c>
      <c r="E58" s="3">
        <v>389</v>
      </c>
      <c r="F58" s="10">
        <v>0.47404186996749398</v>
      </c>
      <c r="G58" s="10">
        <v>0.146962136075934</v>
      </c>
      <c r="H58" s="2">
        <v>1.4408084098809599</v>
      </c>
      <c r="I58" s="2">
        <v>0.19450000000000001</v>
      </c>
      <c r="J58" s="2">
        <v>0.94555604280914196</v>
      </c>
      <c r="K58" s="2">
        <v>0.12442536157659501</v>
      </c>
      <c r="L58" s="6">
        <f t="shared" si="0"/>
        <v>0.76106389542647346</v>
      </c>
      <c r="M58" s="7">
        <f t="shared" si="1"/>
        <v>0.22677580850865497</v>
      </c>
      <c r="N58" s="7">
        <f t="shared" si="2"/>
        <v>0.5764332986560764</v>
      </c>
      <c r="O58" s="7">
        <f t="shared" si="3"/>
        <v>0.10181286197136132</v>
      </c>
      <c r="P58" s="8">
        <f t="shared" si="4"/>
        <v>0.8981871380286387</v>
      </c>
      <c r="Q58" s="9">
        <f t="shared" si="5"/>
        <v>0.57281293884044182</v>
      </c>
    </row>
    <row r="59" spans="1:17" hidden="1" x14ac:dyDescent="0.3">
      <c r="A59" s="1" t="s">
        <v>27</v>
      </c>
      <c r="B59" s="1" t="s">
        <v>14</v>
      </c>
      <c r="C59" s="10">
        <v>0.19479613639530599</v>
      </c>
      <c r="D59" s="10">
        <v>1.3402024793696401</v>
      </c>
      <c r="E59" s="3">
        <v>385</v>
      </c>
      <c r="F59" s="10">
        <v>0.78328136280731397</v>
      </c>
      <c r="G59" s="10">
        <v>0.122314616284689</v>
      </c>
      <c r="H59" s="2">
        <v>1.6251679135550301</v>
      </c>
      <c r="I59" s="2">
        <v>0.1925</v>
      </c>
      <c r="J59" s="2">
        <v>1.26486982914892</v>
      </c>
      <c r="K59" s="2">
        <v>9.7246660006937297E-2</v>
      </c>
      <c r="L59" s="6">
        <f t="shared" si="0"/>
        <v>0.71253858651743407</v>
      </c>
      <c r="M59" s="7">
        <f t="shared" si="1"/>
        <v>0.26749916214803882</v>
      </c>
      <c r="N59" s="7">
        <f t="shared" si="2"/>
        <v>0.68331445178874695</v>
      </c>
      <c r="O59" s="7">
        <f t="shared" si="3"/>
        <v>6.2696085317232267E-2</v>
      </c>
      <c r="P59" s="8">
        <f t="shared" si="4"/>
        <v>0.93730391468276775</v>
      </c>
      <c r="Q59" s="9">
        <f t="shared" si="5"/>
        <v>0.61521258442107607</v>
      </c>
    </row>
    <row r="60" spans="1:17" x14ac:dyDescent="0.3">
      <c r="A60" s="1" t="s">
        <v>27</v>
      </c>
      <c r="B60" s="1" t="s">
        <v>15</v>
      </c>
      <c r="C60" s="10">
        <v>0.15125400088798599</v>
      </c>
      <c r="D60" s="10">
        <v>1.4681610086446899</v>
      </c>
      <c r="E60" s="3">
        <v>363</v>
      </c>
      <c r="F60" s="10">
        <v>0.90976539903624998</v>
      </c>
      <c r="G60" s="10">
        <v>0.109122085632369</v>
      </c>
      <c r="H60" s="2">
        <v>1.7610477902391399</v>
      </c>
      <c r="I60" s="2">
        <v>0.18149999999999999</v>
      </c>
      <c r="J60" s="2">
        <v>1.3152550998993899</v>
      </c>
      <c r="K60" s="2">
        <v>0.10099183020574901</v>
      </c>
      <c r="L60" s="6">
        <f t="shared" si="0"/>
        <v>0.56542051587748932</v>
      </c>
      <c r="M60" s="7">
        <f t="shared" si="1"/>
        <v>0.30124623676957152</v>
      </c>
      <c r="N60" s="7">
        <f t="shared" si="2"/>
        <v>0.72703060046328127</v>
      </c>
      <c r="O60" s="7">
        <f t="shared" si="3"/>
        <v>4.1758916815074994E-2</v>
      </c>
      <c r="P60" s="8">
        <f t="shared" si="4"/>
        <v>0.95824108318492496</v>
      </c>
      <c r="Q60" s="9">
        <f t="shared" si="5"/>
        <v>0.61321537098233869</v>
      </c>
    </row>
    <row r="61" spans="1:17" x14ac:dyDescent="0.3">
      <c r="A61" s="1" t="s">
        <v>27</v>
      </c>
      <c r="B61" s="1" t="s">
        <v>16</v>
      </c>
      <c r="C61" s="10">
        <v>0.122170064332703</v>
      </c>
      <c r="D61" s="10">
        <v>1.1575477802834999</v>
      </c>
      <c r="E61" s="3">
        <v>387</v>
      </c>
      <c r="F61" s="10">
        <v>0.42567620937846001</v>
      </c>
      <c r="G61" s="10">
        <v>0.117128462615385</v>
      </c>
      <c r="H61" s="2">
        <v>1.4048712408302899</v>
      </c>
      <c r="I61" s="2">
        <v>0.19350000000000001</v>
      </c>
      <c r="J61" s="2">
        <v>0.90749337064012703</v>
      </c>
      <c r="K61" s="2">
        <v>0.10644395036200401</v>
      </c>
      <c r="L61" s="6">
        <f t="shared" si="0"/>
        <v>0.46715311160861794</v>
      </c>
      <c r="M61" s="7">
        <f t="shared" si="1"/>
        <v>0.21932682228952263</v>
      </c>
      <c r="N61" s="7">
        <f t="shared" si="2"/>
        <v>0.55971687757962307</v>
      </c>
      <c r="O61" s="7">
        <f t="shared" si="3"/>
        <v>5.4465414787525826E-2</v>
      </c>
      <c r="P61" s="8">
        <f t="shared" si="4"/>
        <v>0.94553458521247413</v>
      </c>
      <c r="Q61" s="9">
        <f t="shared" si="5"/>
        <v>0.51625064932496212</v>
      </c>
    </row>
    <row r="62" spans="1:17" x14ac:dyDescent="0.3">
      <c r="A62" s="1" t="s">
        <v>28</v>
      </c>
      <c r="B62" s="1" t="s">
        <v>12</v>
      </c>
      <c r="C62" s="10">
        <v>0.13266049027874399</v>
      </c>
      <c r="D62" s="10">
        <v>0.41672129791374901</v>
      </c>
      <c r="E62" s="3">
        <v>365</v>
      </c>
      <c r="F62" s="10">
        <v>-0.770023434295524</v>
      </c>
      <c r="G62" s="10">
        <v>0.64916981947318098</v>
      </c>
      <c r="H62" s="2">
        <v>0.50059685259032904</v>
      </c>
      <c r="I62" s="2">
        <v>0.1825</v>
      </c>
      <c r="J62" s="2">
        <v>-0.57915888181588004</v>
      </c>
      <c r="K62" s="2">
        <v>0.58191113257962301</v>
      </c>
      <c r="L62" s="6">
        <f t="shared" si="0"/>
        <v>0.50259765761884556</v>
      </c>
      <c r="M62" s="7">
        <f t="shared" si="1"/>
        <v>2.3945344213919115E-2</v>
      </c>
      <c r="N62" s="7">
        <f t="shared" si="2"/>
        <v>0.1464522083661231</v>
      </c>
      <c r="O62" s="7">
        <f t="shared" si="3"/>
        <v>0.89884014714330118</v>
      </c>
      <c r="P62" s="8">
        <f t="shared" si="4"/>
        <v>0.10115985285669882</v>
      </c>
      <c r="Q62" s="9">
        <f t="shared" si="5"/>
        <v>0.17187076786912156</v>
      </c>
    </row>
    <row r="63" spans="1:17" hidden="1" x14ac:dyDescent="0.3">
      <c r="A63" s="1" t="s">
        <v>28</v>
      </c>
      <c r="B63" s="1" t="s">
        <v>13</v>
      </c>
      <c r="C63" s="10">
        <v>0.13222552634072199</v>
      </c>
      <c r="D63" s="10">
        <v>0.41672129791374901</v>
      </c>
      <c r="E63" s="3">
        <v>365</v>
      </c>
      <c r="F63" s="10">
        <v>-0.770023434295524</v>
      </c>
      <c r="G63" s="10">
        <v>0.64916981947318098</v>
      </c>
      <c r="H63" s="2">
        <v>0.50059685259032904</v>
      </c>
      <c r="I63" s="2">
        <v>0.1825</v>
      </c>
      <c r="J63" s="2">
        <v>-0.57915888181588004</v>
      </c>
      <c r="K63" s="2">
        <v>0.58191113257962301</v>
      </c>
      <c r="L63" s="6">
        <f t="shared" si="0"/>
        <v>0.50112802241115129</v>
      </c>
      <c r="M63" s="7">
        <f t="shared" si="1"/>
        <v>2.3945344213919115E-2</v>
      </c>
      <c r="N63" s="7">
        <f t="shared" si="2"/>
        <v>0.1464522083661231</v>
      </c>
      <c r="O63" s="7">
        <f t="shared" si="3"/>
        <v>0.89884014714330118</v>
      </c>
      <c r="P63" s="8">
        <f t="shared" si="4"/>
        <v>0.10115985285669882</v>
      </c>
      <c r="Q63" s="9">
        <f t="shared" si="5"/>
        <v>0.17157684082758271</v>
      </c>
    </row>
    <row r="64" spans="1:17" hidden="1" x14ac:dyDescent="0.3">
      <c r="A64" s="1" t="s">
        <v>28</v>
      </c>
      <c r="B64" s="1" t="s">
        <v>14</v>
      </c>
      <c r="C64" s="10">
        <v>9.9454911212352295E-2</v>
      </c>
      <c r="D64" s="10">
        <v>0.56389016860961405</v>
      </c>
      <c r="E64" s="3">
        <v>379</v>
      </c>
      <c r="F64" s="10">
        <v>-0.46507661979609499</v>
      </c>
      <c r="G64" s="10">
        <v>0.51521308523781395</v>
      </c>
      <c r="H64" s="2">
        <v>0.68213269682448496</v>
      </c>
      <c r="I64" s="2">
        <v>0.1895</v>
      </c>
      <c r="J64" s="2">
        <v>-0.26256881470056198</v>
      </c>
      <c r="K64" s="2">
        <v>0.46272317432975002</v>
      </c>
      <c r="L64" s="6">
        <f t="shared" si="0"/>
        <v>0.3904042461149832</v>
      </c>
      <c r="M64" s="7">
        <f t="shared" si="1"/>
        <v>6.2758848006733259E-2</v>
      </c>
      <c r="N64" s="7">
        <f t="shared" si="2"/>
        <v>0.25184970102957194</v>
      </c>
      <c r="O64" s="7">
        <f t="shared" si="3"/>
        <v>0.68624449051002612</v>
      </c>
      <c r="P64" s="8">
        <f t="shared" si="4"/>
        <v>0.31375550948997388</v>
      </c>
      <c r="Q64" s="9">
        <f t="shared" si="5"/>
        <v>0.23521451583188296</v>
      </c>
    </row>
    <row r="65" spans="1:17" x14ac:dyDescent="0.3">
      <c r="A65" s="1" t="s">
        <v>28</v>
      </c>
      <c r="B65" s="1" t="s">
        <v>15</v>
      </c>
      <c r="C65" s="10">
        <v>0.16287399670702701</v>
      </c>
      <c r="D65" s="10">
        <v>0.72590290503957</v>
      </c>
      <c r="E65" s="3">
        <v>181</v>
      </c>
      <c r="F65" s="10">
        <v>-0.12938194677180301</v>
      </c>
      <c r="G65" s="10">
        <v>0.52021962372209696</v>
      </c>
      <c r="H65" s="2">
        <v>0.79512794810503096</v>
      </c>
      <c r="I65" s="2">
        <v>9.0499999999999997E-2</v>
      </c>
      <c r="J65" s="2">
        <v>-4.4821108328744301E-2</v>
      </c>
      <c r="K65" s="2">
        <v>0.50646401272821095</v>
      </c>
      <c r="L65" s="6">
        <f t="shared" si="0"/>
        <v>0.60468159817911771</v>
      </c>
      <c r="M65" s="7">
        <f t="shared" si="1"/>
        <v>0.10548719082933652</v>
      </c>
      <c r="N65" s="7">
        <f t="shared" si="2"/>
        <v>0.36787444749336196</v>
      </c>
      <c r="O65" s="7">
        <f t="shared" si="3"/>
        <v>0.69419010326776753</v>
      </c>
      <c r="P65" s="8">
        <f t="shared" si="4"/>
        <v>0.30580989673223247</v>
      </c>
      <c r="Q65" s="9">
        <f t="shared" si="5"/>
        <v>0.32410679047907959</v>
      </c>
    </row>
    <row r="66" spans="1:17" x14ac:dyDescent="0.3">
      <c r="A66" s="1" t="s">
        <v>28</v>
      </c>
      <c r="B66" s="1" t="s">
        <v>16</v>
      </c>
      <c r="C66" s="10">
        <v>0.12103094533809899</v>
      </c>
      <c r="D66" s="10">
        <v>0.445255021068243</v>
      </c>
      <c r="E66" s="3">
        <v>357</v>
      </c>
      <c r="F66" s="10">
        <v>-0.67651898762955098</v>
      </c>
      <c r="G66" s="10">
        <v>0.64082391008004702</v>
      </c>
      <c r="H66" s="2">
        <v>0.53274988690570602</v>
      </c>
      <c r="I66" s="2">
        <v>0.17849999999999999</v>
      </c>
      <c r="J66" s="2">
        <v>-0.49414095051484602</v>
      </c>
      <c r="K66" s="2">
        <v>0.57388328471720695</v>
      </c>
      <c r="L66" s="6">
        <f t="shared" si="0"/>
        <v>0.46330431120498866</v>
      </c>
      <c r="M66" s="7">
        <f t="shared" si="1"/>
        <v>3.1470670505025715E-2</v>
      </c>
      <c r="N66" s="7">
        <f t="shared" si="2"/>
        <v>0.1787697593713827</v>
      </c>
      <c r="O66" s="7">
        <f t="shared" si="3"/>
        <v>0.88559479521856999</v>
      </c>
      <c r="P66" s="8">
        <f t="shared" si="4"/>
        <v>0.11440520478143001</v>
      </c>
      <c r="Q66" s="9">
        <f t="shared" si="5"/>
        <v>0.17861403216020627</v>
      </c>
    </row>
    <row r="67" spans="1:17" x14ac:dyDescent="0.3">
      <c r="A67" s="1" t="s">
        <v>29</v>
      </c>
      <c r="B67" s="1" t="s">
        <v>12</v>
      </c>
      <c r="C67" s="10">
        <v>0.116956091724831</v>
      </c>
      <c r="D67" s="10">
        <v>0.81276604747505399</v>
      </c>
      <c r="E67" s="3">
        <v>272</v>
      </c>
      <c r="F67" s="10">
        <v>8.9450077487370698E-4</v>
      </c>
      <c r="G67" s="10">
        <v>0.62609460899173497</v>
      </c>
      <c r="H67" s="2">
        <v>0.93171890093908005</v>
      </c>
      <c r="I67" s="2">
        <v>0.13600000000000001</v>
      </c>
      <c r="J67" s="2">
        <v>0.121538590733128</v>
      </c>
      <c r="K67" s="2">
        <v>0.59065969560489295</v>
      </c>
      <c r="L67" s="6">
        <f t="shared" ref="L67:L130" si="6">(C67 - MIN($C:$C)) / (MAX($C:$C) - MIN($C:$C))</f>
        <v>0.4495363920448589</v>
      </c>
      <c r="M67" s="7">
        <f t="shared" ref="M67:M130" si="7">(D67 - MIN($D:$D)) / (MAX($D:$D) - MIN($D:$D))</f>
        <v>0.12839599547283195</v>
      </c>
      <c r="N67" s="7">
        <f t="shared" ref="N67:N130" si="8">(F67 - MIN($F:$F)) / (MAX($F:$F) - MIN($F:$F))</f>
        <v>0.41290135143744872</v>
      </c>
      <c r="O67" s="7">
        <f t="shared" ref="O67:O130" si="9">(G67 - MIN($G:$G)) / (MAX($G:$G) - MIN($G:$G))</f>
        <v>0.86221869953743047</v>
      </c>
      <c r="P67" s="8">
        <f t="shared" ref="P67:P130" si="10">1 - O67</f>
        <v>0.13778130046256953</v>
      </c>
      <c r="Q67" s="9">
        <f t="shared" ref="Q67:Q130" si="11">0.2*L67+0.3*M67+0.3*N67+0.2*P67</f>
        <v>0.27985274257456988</v>
      </c>
    </row>
    <row r="68" spans="1:17" hidden="1" x14ac:dyDescent="0.3">
      <c r="A68" s="1" t="s">
        <v>29</v>
      </c>
      <c r="B68" s="1" t="s">
        <v>13</v>
      </c>
      <c r="C68" s="10">
        <v>0.11664850994692399</v>
      </c>
      <c r="D68" s="10">
        <v>0.81276604747505399</v>
      </c>
      <c r="E68" s="3">
        <v>272</v>
      </c>
      <c r="F68" s="10">
        <v>8.9450077487370698E-4</v>
      </c>
      <c r="G68" s="10">
        <v>0.62609460899173497</v>
      </c>
      <c r="H68" s="2">
        <v>0.93171890093908005</v>
      </c>
      <c r="I68" s="2">
        <v>0.13600000000000001</v>
      </c>
      <c r="J68" s="2">
        <v>0.121538590733128</v>
      </c>
      <c r="K68" s="2">
        <v>0.59065969560489295</v>
      </c>
      <c r="L68" s="6">
        <f t="shared" si="6"/>
        <v>0.44849714954555442</v>
      </c>
      <c r="M68" s="7">
        <f t="shared" si="7"/>
        <v>0.12839599547283195</v>
      </c>
      <c r="N68" s="7">
        <f t="shared" si="8"/>
        <v>0.41290135143744872</v>
      </c>
      <c r="O68" s="7">
        <f t="shared" si="9"/>
        <v>0.86221869953743047</v>
      </c>
      <c r="P68" s="8">
        <f t="shared" si="10"/>
        <v>0.13778130046256953</v>
      </c>
      <c r="Q68" s="9">
        <f t="shared" si="11"/>
        <v>0.27964489407470899</v>
      </c>
    </row>
    <row r="69" spans="1:17" hidden="1" x14ac:dyDescent="0.3">
      <c r="A69" s="1" t="s">
        <v>29</v>
      </c>
      <c r="B69" s="1" t="s">
        <v>14</v>
      </c>
      <c r="C69" s="10">
        <v>6.8534987504013906E-2</v>
      </c>
      <c r="D69" s="10">
        <v>0.897375358244768</v>
      </c>
      <c r="E69" s="3">
        <v>359</v>
      </c>
      <c r="F69" s="10">
        <v>6.0470776594503499E-2</v>
      </c>
      <c r="G69" s="10">
        <v>0.35614409017013998</v>
      </c>
      <c r="H69" s="2">
        <v>1.07442333868074</v>
      </c>
      <c r="I69" s="2">
        <v>0.17949999999999999</v>
      </c>
      <c r="J69" s="2">
        <v>0.233332834365272</v>
      </c>
      <c r="K69" s="2">
        <v>0.35095238203319501</v>
      </c>
      <c r="L69" s="6">
        <f t="shared" si="6"/>
        <v>0.28593349686704367</v>
      </c>
      <c r="M69" s="7">
        <f t="shared" si="7"/>
        <v>0.15071038702139708</v>
      </c>
      <c r="N69" s="7">
        <f t="shared" si="8"/>
        <v>0.43349245059000857</v>
      </c>
      <c r="O69" s="7">
        <f t="shared" si="9"/>
        <v>0.43379449126632302</v>
      </c>
      <c r="P69" s="8">
        <f t="shared" si="10"/>
        <v>0.56620550873367703</v>
      </c>
      <c r="Q69" s="9">
        <f t="shared" si="11"/>
        <v>0.34568865240356583</v>
      </c>
    </row>
    <row r="70" spans="1:17" x14ac:dyDescent="0.3">
      <c r="A70" s="1" t="s">
        <v>29</v>
      </c>
      <c r="B70" s="1" t="s">
        <v>15</v>
      </c>
      <c r="C70" s="10">
        <v>0.13534284913901401</v>
      </c>
      <c r="D70" s="10">
        <v>0.72487139420693603</v>
      </c>
      <c r="E70" s="3">
        <v>365</v>
      </c>
      <c r="F70" s="10">
        <v>-0.21826238341943799</v>
      </c>
      <c r="G70" s="10">
        <v>0.45797567393534699</v>
      </c>
      <c r="H70" s="2">
        <v>0.870562055221757</v>
      </c>
      <c r="I70" s="2">
        <v>0.1825</v>
      </c>
      <c r="J70" s="2">
        <v>-1.36940996989811E-2</v>
      </c>
      <c r="K70" s="2">
        <v>0.40751286144328902</v>
      </c>
      <c r="L70" s="6">
        <f t="shared" si="6"/>
        <v>0.51166068256443065</v>
      </c>
      <c r="M70" s="7">
        <f t="shared" si="7"/>
        <v>0.10521514586884005</v>
      </c>
      <c r="N70" s="7">
        <f t="shared" si="8"/>
        <v>0.33715507374003889</v>
      </c>
      <c r="O70" s="7">
        <f t="shared" si="9"/>
        <v>0.59540601860120501</v>
      </c>
      <c r="P70" s="8">
        <f t="shared" si="10"/>
        <v>0.40459398139879499</v>
      </c>
      <c r="Q70" s="9">
        <f t="shared" si="11"/>
        <v>0.31596199867530883</v>
      </c>
    </row>
    <row r="71" spans="1:17" x14ac:dyDescent="0.3">
      <c r="A71" s="1" t="s">
        <v>29</v>
      </c>
      <c r="B71" s="1" t="s">
        <v>16</v>
      </c>
      <c r="C71" s="10">
        <v>2.0622542774752901E-2</v>
      </c>
      <c r="D71" s="10">
        <v>0.78420153020499195</v>
      </c>
      <c r="E71" s="3">
        <v>292</v>
      </c>
      <c r="F71" s="10">
        <v>-3.85261020853358E-2</v>
      </c>
      <c r="G71" s="10">
        <v>0.56632151044914902</v>
      </c>
      <c r="H71" s="2">
        <v>0.90773277847751099</v>
      </c>
      <c r="I71" s="2">
        <v>0.14599999999999999</v>
      </c>
      <c r="J71" s="2">
        <v>9.1117248239616006E-2</v>
      </c>
      <c r="K71" s="2">
        <v>0.52777158594172702</v>
      </c>
      <c r="L71" s="6">
        <f t="shared" si="6"/>
        <v>0.12404923588432545</v>
      </c>
      <c r="M71" s="7">
        <f t="shared" si="7"/>
        <v>0.12086254771204399</v>
      </c>
      <c r="N71" s="7">
        <f t="shared" si="8"/>
        <v>0.39927657326894139</v>
      </c>
      <c r="O71" s="7">
        <f t="shared" si="9"/>
        <v>0.76735597235763109</v>
      </c>
      <c r="P71" s="8">
        <f t="shared" si="10"/>
        <v>0.23264402764236891</v>
      </c>
      <c r="Q71" s="9">
        <f t="shared" si="11"/>
        <v>0.22738038899963448</v>
      </c>
    </row>
    <row r="72" spans="1:17" x14ac:dyDescent="0.3">
      <c r="A72" s="1" t="s">
        <v>30</v>
      </c>
      <c r="B72" s="1" t="s">
        <v>12</v>
      </c>
      <c r="C72" s="10">
        <v>9.7612462334898398E-2</v>
      </c>
      <c r="D72" s="10">
        <v>1.35775832098692</v>
      </c>
      <c r="E72" s="3">
        <v>335</v>
      </c>
      <c r="F72" s="10">
        <v>0.48149009164690898</v>
      </c>
      <c r="G72" s="10">
        <v>0.32390099256833499</v>
      </c>
      <c r="H72" s="2">
        <v>1.6063131996740501</v>
      </c>
      <c r="I72" s="2">
        <v>0.16749999999999901</v>
      </c>
      <c r="J72" s="2">
        <v>0.66886051401130397</v>
      </c>
      <c r="K72" s="2">
        <v>0.30487726498880102</v>
      </c>
      <c r="L72" s="6">
        <f t="shared" si="6"/>
        <v>0.38417906857268785</v>
      </c>
      <c r="M72" s="7">
        <f t="shared" si="7"/>
        <v>0.27212924269412453</v>
      </c>
      <c r="N72" s="7">
        <f t="shared" si="8"/>
        <v>0.5790075963777972</v>
      </c>
      <c r="O72" s="7">
        <f t="shared" si="9"/>
        <v>0.38262317430585974</v>
      </c>
      <c r="P72" s="8">
        <f t="shared" si="10"/>
        <v>0.61737682569414032</v>
      </c>
      <c r="Q72" s="9">
        <f t="shared" si="11"/>
        <v>0.45565223057494209</v>
      </c>
    </row>
    <row r="73" spans="1:17" hidden="1" x14ac:dyDescent="0.3">
      <c r="A73" s="1" t="s">
        <v>30</v>
      </c>
      <c r="B73" s="1" t="s">
        <v>13</v>
      </c>
      <c r="C73" s="10">
        <v>0.103442548775322</v>
      </c>
      <c r="D73" s="10">
        <v>1.0696215845088</v>
      </c>
      <c r="E73" s="3">
        <v>349</v>
      </c>
      <c r="F73" s="10">
        <v>0.215837663327241</v>
      </c>
      <c r="G73" s="10">
        <v>0.33875320105830498</v>
      </c>
      <c r="H73" s="2">
        <v>1.2744656262276199</v>
      </c>
      <c r="I73" s="2">
        <v>0.17449999999999999</v>
      </c>
      <c r="J73" s="2">
        <v>0.41432265038211402</v>
      </c>
      <c r="K73" s="2">
        <v>0.32014737731409998</v>
      </c>
      <c r="L73" s="6">
        <f t="shared" si="6"/>
        <v>0.40387748388433536</v>
      </c>
      <c r="M73" s="7">
        <f t="shared" si="7"/>
        <v>0.19613765383934359</v>
      </c>
      <c r="N73" s="7">
        <f t="shared" si="8"/>
        <v>0.48719125813924186</v>
      </c>
      <c r="O73" s="7">
        <f t="shared" si="9"/>
        <v>0.40619432983158044</v>
      </c>
      <c r="P73" s="8">
        <f t="shared" si="10"/>
        <v>0.59380567016841956</v>
      </c>
      <c r="Q73" s="9">
        <f t="shared" si="11"/>
        <v>0.40453530440412661</v>
      </c>
    </row>
    <row r="74" spans="1:17" hidden="1" x14ac:dyDescent="0.3">
      <c r="A74" s="1" t="s">
        <v>30</v>
      </c>
      <c r="B74" s="1" t="s">
        <v>14</v>
      </c>
      <c r="C74" s="10">
        <v>0.166764765671226</v>
      </c>
      <c r="D74" s="10">
        <v>1.5796525954401801</v>
      </c>
      <c r="E74" s="3">
        <v>383</v>
      </c>
      <c r="F74" s="10">
        <v>0.69638029309461402</v>
      </c>
      <c r="G74" s="10">
        <v>0.31135750176131599</v>
      </c>
      <c r="H74" s="2">
        <v>1.9139351087123799</v>
      </c>
      <c r="I74" s="2">
        <v>0.1915</v>
      </c>
      <c r="J74" s="2">
        <v>0.93762887532227102</v>
      </c>
      <c r="K74" s="2">
        <v>0.293039076782316</v>
      </c>
      <c r="L74" s="6">
        <f t="shared" si="6"/>
        <v>0.6178275409917412</v>
      </c>
      <c r="M74" s="7">
        <f t="shared" si="7"/>
        <v>0.33065041107961618</v>
      </c>
      <c r="N74" s="7">
        <f t="shared" si="8"/>
        <v>0.65327919835439019</v>
      </c>
      <c r="O74" s="7">
        <f t="shared" si="9"/>
        <v>0.36271606265661505</v>
      </c>
      <c r="P74" s="8">
        <f t="shared" si="10"/>
        <v>0.63728393734338495</v>
      </c>
      <c r="Q74" s="9">
        <f t="shared" si="11"/>
        <v>0.54620117849722716</v>
      </c>
    </row>
    <row r="75" spans="1:17" x14ac:dyDescent="0.3">
      <c r="A75" s="1" t="s">
        <v>30</v>
      </c>
      <c r="B75" s="1" t="s">
        <v>15</v>
      </c>
      <c r="C75" s="10">
        <v>4.9134627613402301E-2</v>
      </c>
      <c r="D75" s="10">
        <v>1.07540710129666</v>
      </c>
      <c r="E75" s="3">
        <v>281</v>
      </c>
      <c r="F75" s="10">
        <v>0.216281913141677</v>
      </c>
      <c r="G75" s="10">
        <v>0.292547120236408</v>
      </c>
      <c r="H75" s="2">
        <v>1.2379725046702099</v>
      </c>
      <c r="I75" s="2">
        <v>0.14050000000000001</v>
      </c>
      <c r="J75" s="2">
        <v>0.45217198192365898</v>
      </c>
      <c r="K75" s="2">
        <v>0.273758932718556</v>
      </c>
      <c r="L75" s="6">
        <f t="shared" si="6"/>
        <v>0.22038449511108865</v>
      </c>
      <c r="M75" s="7">
        <f t="shared" si="7"/>
        <v>0.19766349403046019</v>
      </c>
      <c r="N75" s="7">
        <f t="shared" si="8"/>
        <v>0.48734480234541638</v>
      </c>
      <c r="O75" s="7">
        <f t="shared" si="9"/>
        <v>0.33286309979784723</v>
      </c>
      <c r="P75" s="8">
        <f t="shared" si="10"/>
        <v>0.66713690020215277</v>
      </c>
      <c r="Q75" s="9">
        <f t="shared" si="11"/>
        <v>0.38300676797541122</v>
      </c>
    </row>
    <row r="76" spans="1:17" x14ac:dyDescent="0.3">
      <c r="A76" s="1" t="s">
        <v>30</v>
      </c>
      <c r="B76" s="1" t="s">
        <v>16</v>
      </c>
      <c r="C76" s="10">
        <v>0.139946447549154</v>
      </c>
      <c r="D76" s="10">
        <v>1.15600462927049</v>
      </c>
      <c r="E76" s="3">
        <v>427</v>
      </c>
      <c r="F76" s="10">
        <v>0.305035287993283</v>
      </c>
      <c r="G76" s="10">
        <v>0.26345118372115001</v>
      </c>
      <c r="H76" s="2">
        <v>1.43192259831047</v>
      </c>
      <c r="I76" s="2">
        <v>0.2135</v>
      </c>
      <c r="J76" s="2">
        <v>0.55890862624392501</v>
      </c>
      <c r="K76" s="2">
        <v>0.24392160524894901</v>
      </c>
      <c r="L76" s="6">
        <f t="shared" si="6"/>
        <v>0.52721509918203202</v>
      </c>
      <c r="M76" s="7">
        <f t="shared" si="7"/>
        <v>0.21891984017833879</v>
      </c>
      <c r="N76" s="7">
        <f t="shared" si="8"/>
        <v>0.5180202602613605</v>
      </c>
      <c r="O76" s="7">
        <f t="shared" si="9"/>
        <v>0.28668647594888941</v>
      </c>
      <c r="P76" s="8">
        <f t="shared" si="10"/>
        <v>0.71331352405111059</v>
      </c>
      <c r="Q76" s="9">
        <f t="shared" si="11"/>
        <v>0.46918775477853836</v>
      </c>
    </row>
    <row r="77" spans="1:17" x14ac:dyDescent="0.3">
      <c r="A77" s="1" t="s">
        <v>31</v>
      </c>
      <c r="B77" s="1" t="s">
        <v>12</v>
      </c>
      <c r="C77" s="10">
        <v>0.16873194939816399</v>
      </c>
      <c r="D77" s="10">
        <v>1.43526541280381</v>
      </c>
      <c r="E77" s="3">
        <v>380</v>
      </c>
      <c r="F77" s="10">
        <v>0.93229285810740004</v>
      </c>
      <c r="G77" s="10">
        <v>0.13540346681291801</v>
      </c>
      <c r="H77" s="2">
        <v>1.7361536188214199</v>
      </c>
      <c r="I77" s="2">
        <v>0.19</v>
      </c>
      <c r="J77" s="2">
        <v>1.3984749358127</v>
      </c>
      <c r="K77" s="2">
        <v>0.12490320812121899</v>
      </c>
      <c r="L77" s="6">
        <f t="shared" si="6"/>
        <v>0.62447416663675026</v>
      </c>
      <c r="M77" s="7">
        <f t="shared" si="7"/>
        <v>0.2925705343068174</v>
      </c>
      <c r="N77" s="7">
        <f t="shared" si="8"/>
        <v>0.73481667196586498</v>
      </c>
      <c r="O77" s="7">
        <f t="shared" si="9"/>
        <v>8.3468708571352856E-2</v>
      </c>
      <c r="P77" s="8">
        <f t="shared" si="10"/>
        <v>0.9165312914286472</v>
      </c>
      <c r="Q77" s="9">
        <f t="shared" si="11"/>
        <v>0.61641725349488419</v>
      </c>
    </row>
    <row r="78" spans="1:17" hidden="1" x14ac:dyDescent="0.3">
      <c r="A78" s="1" t="s">
        <v>31</v>
      </c>
      <c r="B78" s="1" t="s">
        <v>13</v>
      </c>
      <c r="C78" s="10">
        <v>0.16858770933890299</v>
      </c>
      <c r="D78" s="10">
        <v>1.43526541280381</v>
      </c>
      <c r="E78" s="3">
        <v>380</v>
      </c>
      <c r="F78" s="10">
        <v>0.93229285810740004</v>
      </c>
      <c r="G78" s="10">
        <v>0.13540346681291801</v>
      </c>
      <c r="H78" s="2">
        <v>1.7361536188214199</v>
      </c>
      <c r="I78" s="2">
        <v>0.19</v>
      </c>
      <c r="J78" s="2">
        <v>1.3984749358127</v>
      </c>
      <c r="K78" s="2">
        <v>0.12490320812121899</v>
      </c>
      <c r="L78" s="6">
        <f t="shared" si="6"/>
        <v>0.6239868152705339</v>
      </c>
      <c r="M78" s="7">
        <f t="shared" si="7"/>
        <v>0.2925705343068174</v>
      </c>
      <c r="N78" s="7">
        <f t="shared" si="8"/>
        <v>0.73481667196586498</v>
      </c>
      <c r="O78" s="7">
        <f t="shared" si="9"/>
        <v>8.3468708571352856E-2</v>
      </c>
      <c r="P78" s="8">
        <f t="shared" si="10"/>
        <v>0.9165312914286472</v>
      </c>
      <c r="Q78" s="9">
        <f t="shared" si="11"/>
        <v>0.61631978322164094</v>
      </c>
    </row>
    <row r="79" spans="1:17" hidden="1" x14ac:dyDescent="0.3">
      <c r="A79" s="1" t="s">
        <v>31</v>
      </c>
      <c r="B79" s="1" t="s">
        <v>14</v>
      </c>
      <c r="C79" s="10">
        <v>0.14102881718367499</v>
      </c>
      <c r="D79" s="10">
        <v>1.36278013342066</v>
      </c>
      <c r="E79" s="3">
        <v>368</v>
      </c>
      <c r="F79" s="10">
        <v>0.83980629202955703</v>
      </c>
      <c r="G79" s="10">
        <v>0.12951971933939599</v>
      </c>
      <c r="H79" s="2">
        <v>1.6385103943489701</v>
      </c>
      <c r="I79" s="2">
        <v>0.184</v>
      </c>
      <c r="J79" s="2">
        <v>1.3105701816152699</v>
      </c>
      <c r="K79" s="2">
        <v>0.125129121792076</v>
      </c>
      <c r="L79" s="6">
        <f t="shared" si="6"/>
        <v>0.53087215758063133</v>
      </c>
      <c r="M79" s="7">
        <f t="shared" si="7"/>
        <v>0.27345366772383461</v>
      </c>
      <c r="N79" s="7">
        <f t="shared" si="8"/>
        <v>0.70285092677302485</v>
      </c>
      <c r="O79" s="7">
        <f t="shared" si="9"/>
        <v>7.4130923765402146E-2</v>
      </c>
      <c r="P79" s="8">
        <f t="shared" si="10"/>
        <v>0.9258690762345978</v>
      </c>
      <c r="Q79" s="9">
        <f t="shared" si="11"/>
        <v>0.58423962511210359</v>
      </c>
    </row>
    <row r="80" spans="1:17" x14ac:dyDescent="0.3">
      <c r="A80" s="1" t="s">
        <v>31</v>
      </c>
      <c r="B80" s="1" t="s">
        <v>15</v>
      </c>
      <c r="C80" s="10">
        <v>0.115329743915539</v>
      </c>
      <c r="D80" s="10">
        <v>1.34183813875165</v>
      </c>
      <c r="E80" s="3">
        <v>356</v>
      </c>
      <c r="F80" s="10">
        <v>0.84292531200203802</v>
      </c>
      <c r="G80" s="10">
        <v>0.127390778555828</v>
      </c>
      <c r="H80" s="2">
        <v>1.6035524886586801</v>
      </c>
      <c r="I80" s="2">
        <v>0.17799999999999999</v>
      </c>
      <c r="J80" s="2">
        <v>1.3249029672946699</v>
      </c>
      <c r="K80" s="2">
        <v>0.12016289154766401</v>
      </c>
      <c r="L80" s="6">
        <f t="shared" si="6"/>
        <v>0.44404136638512026</v>
      </c>
      <c r="M80" s="7">
        <f t="shared" si="7"/>
        <v>0.26793054190468985</v>
      </c>
      <c r="N80" s="7">
        <f t="shared" si="8"/>
        <v>0.70392894060703171</v>
      </c>
      <c r="O80" s="7">
        <f t="shared" si="9"/>
        <v>7.0752194309212549E-2</v>
      </c>
      <c r="P80" s="8">
        <f t="shared" si="10"/>
        <v>0.92924780569078747</v>
      </c>
      <c r="Q80" s="9">
        <f t="shared" si="11"/>
        <v>0.56621567916869808</v>
      </c>
    </row>
    <row r="81" spans="1:17" x14ac:dyDescent="0.3">
      <c r="A81" s="1" t="s">
        <v>31</v>
      </c>
      <c r="B81" s="1" t="s">
        <v>16</v>
      </c>
      <c r="C81" s="10">
        <v>0.165444026636309</v>
      </c>
      <c r="D81" s="10">
        <v>1.23853755618253</v>
      </c>
      <c r="E81" s="3">
        <v>372</v>
      </c>
      <c r="F81" s="10">
        <v>0.58354207901157695</v>
      </c>
      <c r="G81" s="10">
        <v>0.13770863278314699</v>
      </c>
      <c r="H81" s="2">
        <v>1.49217112907209</v>
      </c>
      <c r="I81" s="2">
        <v>0.186</v>
      </c>
      <c r="J81" s="2">
        <v>1.0410537885764799</v>
      </c>
      <c r="K81" s="2">
        <v>0.12618141962937601</v>
      </c>
      <c r="L81" s="6">
        <f t="shared" si="6"/>
        <v>0.61336509154198482</v>
      </c>
      <c r="M81" s="7">
        <f t="shared" si="7"/>
        <v>0.24068661773520786</v>
      </c>
      <c r="N81" s="7">
        <f t="shared" si="8"/>
        <v>0.61427939814170152</v>
      </c>
      <c r="O81" s="7">
        <f t="shared" si="9"/>
        <v>8.7127115712187161E-2</v>
      </c>
      <c r="P81" s="8">
        <f t="shared" si="10"/>
        <v>0.91287288428781288</v>
      </c>
      <c r="Q81" s="9">
        <f t="shared" si="11"/>
        <v>0.56173739992903238</v>
      </c>
    </row>
    <row r="82" spans="1:17" x14ac:dyDescent="0.3">
      <c r="A82" s="1" t="s">
        <v>32</v>
      </c>
      <c r="B82" s="1" t="s">
        <v>12</v>
      </c>
      <c r="C82" s="10">
        <v>0.15327590147613401</v>
      </c>
      <c r="D82" s="10">
        <v>1.2016279771984599</v>
      </c>
      <c r="E82" s="3">
        <v>439</v>
      </c>
      <c r="F82" s="10">
        <v>0.42914661701653301</v>
      </c>
      <c r="G82" s="10">
        <v>0.199886058633132</v>
      </c>
      <c r="H82" s="2">
        <v>1.49706256232479</v>
      </c>
      <c r="I82" s="2">
        <v>0.2195</v>
      </c>
      <c r="J82" s="2">
        <v>0.84513485947715505</v>
      </c>
      <c r="K82" s="2">
        <v>0.158898017401953</v>
      </c>
      <c r="L82" s="6">
        <f t="shared" si="6"/>
        <v>0.57225201621821342</v>
      </c>
      <c r="M82" s="7">
        <f t="shared" si="7"/>
        <v>0.23095228956434127</v>
      </c>
      <c r="N82" s="7">
        <f t="shared" si="8"/>
        <v>0.56091634006351032</v>
      </c>
      <c r="O82" s="7">
        <f t="shared" si="9"/>
        <v>0.18580562375284054</v>
      </c>
      <c r="P82" s="8">
        <f t="shared" si="10"/>
        <v>0.81419437624715951</v>
      </c>
      <c r="Q82" s="9">
        <f t="shared" si="11"/>
        <v>0.51484986738143013</v>
      </c>
    </row>
    <row r="83" spans="1:17" hidden="1" x14ac:dyDescent="0.3">
      <c r="A83" s="1" t="s">
        <v>32</v>
      </c>
      <c r="B83" s="1" t="s">
        <v>13</v>
      </c>
      <c r="C83" s="10">
        <v>0.15160210441039201</v>
      </c>
      <c r="D83" s="10">
        <v>1.15745130576521</v>
      </c>
      <c r="E83" s="3">
        <v>441</v>
      </c>
      <c r="F83" s="10">
        <v>0.36076563310079801</v>
      </c>
      <c r="G83" s="10">
        <v>0.20202214146564401</v>
      </c>
      <c r="H83" s="2">
        <v>1.4434927181498201</v>
      </c>
      <c r="I83" s="2">
        <v>0.2205</v>
      </c>
      <c r="J83" s="2">
        <v>0.78277665047313205</v>
      </c>
      <c r="K83" s="2">
        <v>0.16581121309124799</v>
      </c>
      <c r="L83" s="6">
        <f t="shared" si="6"/>
        <v>0.56659667129574476</v>
      </c>
      <c r="M83" s="7">
        <f t="shared" si="7"/>
        <v>0.21930137863378316</v>
      </c>
      <c r="N83" s="7">
        <f t="shared" si="8"/>
        <v>0.53728210645982866</v>
      </c>
      <c r="O83" s="7">
        <f t="shared" si="9"/>
        <v>0.18919568797763009</v>
      </c>
      <c r="P83" s="8">
        <f t="shared" si="10"/>
        <v>0.81080431202236991</v>
      </c>
      <c r="Q83" s="9">
        <f t="shared" si="11"/>
        <v>0.50245524219170656</v>
      </c>
    </row>
    <row r="84" spans="1:17" hidden="1" x14ac:dyDescent="0.3">
      <c r="A84" s="1" t="s">
        <v>32</v>
      </c>
      <c r="B84" s="1" t="s">
        <v>14</v>
      </c>
      <c r="C84" s="10">
        <v>0.19951279700049099</v>
      </c>
      <c r="D84" s="10">
        <v>1.32190067053723</v>
      </c>
      <c r="E84" s="3">
        <v>343</v>
      </c>
      <c r="F84" s="10">
        <v>0.70565496971862995</v>
      </c>
      <c r="G84" s="10">
        <v>0.12530014649319701</v>
      </c>
      <c r="H84" s="2">
        <v>1.5695472341377901</v>
      </c>
      <c r="I84" s="2">
        <v>0.17149999999999899</v>
      </c>
      <c r="J84" s="2">
        <v>1.1021496581475601</v>
      </c>
      <c r="K84" s="2">
        <v>0.12000713731541</v>
      </c>
      <c r="L84" s="6">
        <f t="shared" si="6"/>
        <v>0.72847501223503808</v>
      </c>
      <c r="M84" s="7">
        <f t="shared" si="7"/>
        <v>0.26267234433545861</v>
      </c>
      <c r="N84" s="7">
        <f t="shared" si="8"/>
        <v>0.65648476606310757</v>
      </c>
      <c r="O84" s="7">
        <f t="shared" si="9"/>
        <v>6.7434262600361825E-2</v>
      </c>
      <c r="P84" s="8">
        <f t="shared" si="10"/>
        <v>0.93256573739963822</v>
      </c>
      <c r="Q84" s="9">
        <f t="shared" si="11"/>
        <v>0.60795528304650515</v>
      </c>
    </row>
    <row r="85" spans="1:17" x14ac:dyDescent="0.3">
      <c r="A85" s="1" t="s">
        <v>32</v>
      </c>
      <c r="B85" s="1" t="s">
        <v>15</v>
      </c>
      <c r="C85" s="10">
        <v>0.27987530963716301</v>
      </c>
      <c r="D85" s="10">
        <v>1.375195576808</v>
      </c>
      <c r="E85" s="3">
        <v>391</v>
      </c>
      <c r="F85" s="10">
        <v>0.70585099093812498</v>
      </c>
      <c r="G85" s="10">
        <v>0.14610625339789499</v>
      </c>
      <c r="H85" s="2">
        <v>1.6730120076867301</v>
      </c>
      <c r="I85" s="2">
        <v>0.19550000000000001</v>
      </c>
      <c r="J85" s="2">
        <v>1.09815669419783</v>
      </c>
      <c r="K85" s="2">
        <v>0.13825594523662399</v>
      </c>
      <c r="L85" s="6">
        <f t="shared" si="6"/>
        <v>1</v>
      </c>
      <c r="M85" s="7">
        <f t="shared" si="7"/>
        <v>0.27672804807835838</v>
      </c>
      <c r="N85" s="7">
        <f t="shared" si="8"/>
        <v>0.65655251605773368</v>
      </c>
      <c r="O85" s="7">
        <f t="shared" si="9"/>
        <v>0.100454535785094</v>
      </c>
      <c r="P85" s="8">
        <f t="shared" si="10"/>
        <v>0.899545464214906</v>
      </c>
      <c r="Q85" s="9">
        <f t="shared" si="11"/>
        <v>0.65989326208380883</v>
      </c>
    </row>
    <row r="86" spans="1:17" x14ac:dyDescent="0.3">
      <c r="A86" s="1" t="s">
        <v>32</v>
      </c>
      <c r="B86" s="1" t="s">
        <v>16</v>
      </c>
      <c r="C86" s="10">
        <v>0.20636161103122899</v>
      </c>
      <c r="D86" s="10">
        <v>1.1247562447819599</v>
      </c>
      <c r="E86" s="3">
        <v>423</v>
      </c>
      <c r="F86" s="10">
        <v>0.31604935208295898</v>
      </c>
      <c r="G86" s="10">
        <v>0.21709316432690601</v>
      </c>
      <c r="H86" s="2">
        <v>1.39015955833264</v>
      </c>
      <c r="I86" s="2">
        <v>0.21149999999999999</v>
      </c>
      <c r="J86" s="2">
        <v>0.74812295679664298</v>
      </c>
      <c r="K86" s="2">
        <v>0.18992130615508601</v>
      </c>
      <c r="L86" s="6">
        <f t="shared" si="6"/>
        <v>0.75161545527106166</v>
      </c>
      <c r="M86" s="7">
        <f t="shared" si="7"/>
        <v>0.21067856412498551</v>
      </c>
      <c r="N86" s="7">
        <f t="shared" si="8"/>
        <v>0.52182700518831415</v>
      </c>
      <c r="O86" s="7">
        <f t="shared" si="9"/>
        <v>0.21311411223314744</v>
      </c>
      <c r="P86" s="8">
        <f t="shared" si="10"/>
        <v>0.78688588776685253</v>
      </c>
      <c r="Q86" s="9">
        <f t="shared" si="11"/>
        <v>0.52745193940157276</v>
      </c>
    </row>
    <row r="87" spans="1:17" x14ac:dyDescent="0.3">
      <c r="A87" s="1" t="s">
        <v>33</v>
      </c>
      <c r="B87" s="1" t="s">
        <v>12</v>
      </c>
      <c r="C87" s="10">
        <v>4.6605571392333699E-2</v>
      </c>
      <c r="D87" s="10">
        <v>1.0518766468527501</v>
      </c>
      <c r="E87" s="3">
        <v>334</v>
      </c>
      <c r="F87" s="10">
        <v>0.18069602175892399</v>
      </c>
      <c r="G87" s="10">
        <v>0.31948394826545001</v>
      </c>
      <c r="H87" s="2">
        <v>1.24356782817862</v>
      </c>
      <c r="I87" s="2">
        <v>0.16700000000000001</v>
      </c>
      <c r="J87" s="2">
        <v>0.46516846232443698</v>
      </c>
      <c r="K87" s="2">
        <v>0.30526829553904</v>
      </c>
      <c r="L87" s="6">
        <f t="shared" si="6"/>
        <v>0.21183944174040559</v>
      </c>
      <c r="M87" s="7">
        <f t="shared" si="7"/>
        <v>0.19145770215010571</v>
      </c>
      <c r="N87" s="7">
        <f t="shared" si="8"/>
        <v>0.47504539947382801</v>
      </c>
      <c r="O87" s="7">
        <f t="shared" si="9"/>
        <v>0.37561311662335339</v>
      </c>
      <c r="P87" s="8">
        <f t="shared" si="10"/>
        <v>0.62438688337664661</v>
      </c>
      <c r="Q87" s="9">
        <f t="shared" si="11"/>
        <v>0.36719619551059057</v>
      </c>
    </row>
    <row r="88" spans="1:17" hidden="1" x14ac:dyDescent="0.3">
      <c r="A88" s="1" t="s">
        <v>33</v>
      </c>
      <c r="B88" s="1" t="s">
        <v>13</v>
      </c>
      <c r="C88" s="10">
        <v>4.6200258010976901E-2</v>
      </c>
      <c r="D88" s="10">
        <v>0.97952076697149004</v>
      </c>
      <c r="E88" s="3">
        <v>338</v>
      </c>
      <c r="F88" s="10">
        <v>5.9240767247160903E-2</v>
      </c>
      <c r="G88" s="10">
        <v>0.32526492147821501</v>
      </c>
      <c r="H88" s="2">
        <v>1.16036009025108</v>
      </c>
      <c r="I88" s="2">
        <v>0.16900000000000001</v>
      </c>
      <c r="J88" s="2">
        <v>0.34852564078114401</v>
      </c>
      <c r="K88" s="2">
        <v>0.31117003049931102</v>
      </c>
      <c r="L88" s="6">
        <f t="shared" si="6"/>
        <v>0.21046998840572154</v>
      </c>
      <c r="M88" s="7">
        <f t="shared" si="7"/>
        <v>0.17237496267589028</v>
      </c>
      <c r="N88" s="7">
        <f t="shared" si="8"/>
        <v>0.43306732760134803</v>
      </c>
      <c r="O88" s="7">
        <f t="shared" si="9"/>
        <v>0.38478779382911243</v>
      </c>
      <c r="P88" s="8">
        <f t="shared" si="10"/>
        <v>0.61521220617088757</v>
      </c>
      <c r="Q88" s="9">
        <f t="shared" si="11"/>
        <v>0.3467691259984933</v>
      </c>
    </row>
    <row r="89" spans="1:17" hidden="1" x14ac:dyDescent="0.3">
      <c r="A89" s="1" t="s">
        <v>33</v>
      </c>
      <c r="B89" s="1" t="s">
        <v>14</v>
      </c>
      <c r="C89" s="10">
        <v>0.182838304473219</v>
      </c>
      <c r="D89" s="10">
        <v>1.28069303280152</v>
      </c>
      <c r="E89" s="3">
        <v>383</v>
      </c>
      <c r="F89" s="10">
        <v>0.474578138569201</v>
      </c>
      <c r="G89" s="10">
        <v>0.32000462505966798</v>
      </c>
      <c r="H89" s="2">
        <v>1.5517142645661699</v>
      </c>
      <c r="I89" s="2">
        <v>0.1915</v>
      </c>
      <c r="J89" s="2">
        <v>0.761371297667781</v>
      </c>
      <c r="K89" s="2">
        <v>0.28246036745137199</v>
      </c>
      <c r="L89" s="6">
        <f t="shared" si="6"/>
        <v>0.67213603985964709</v>
      </c>
      <c r="M89" s="7">
        <f t="shared" si="7"/>
        <v>0.25180446992706423</v>
      </c>
      <c r="N89" s="7">
        <f t="shared" si="8"/>
        <v>0.57661864693101028</v>
      </c>
      <c r="O89" s="7">
        <f t="shared" si="9"/>
        <v>0.37643945525867711</v>
      </c>
      <c r="P89" s="8">
        <f t="shared" si="10"/>
        <v>0.62356054474132283</v>
      </c>
      <c r="Q89" s="9">
        <f t="shared" si="11"/>
        <v>0.50766625197761628</v>
      </c>
    </row>
    <row r="90" spans="1:17" x14ac:dyDescent="0.3">
      <c r="A90" s="1" t="s">
        <v>33</v>
      </c>
      <c r="B90" s="1" t="s">
        <v>15</v>
      </c>
      <c r="C90" s="10">
        <v>0.193515521898109</v>
      </c>
      <c r="D90" s="10">
        <v>1.6396157302099901</v>
      </c>
      <c r="E90" s="3">
        <v>363</v>
      </c>
      <c r="F90" s="10">
        <v>0.81013505773153005</v>
      </c>
      <c r="G90" s="10">
        <v>0.307826449413244</v>
      </c>
      <c r="H90" s="2">
        <v>1.9670172805855899</v>
      </c>
      <c r="I90" s="2">
        <v>0.18149999999999999</v>
      </c>
      <c r="J90" s="2">
        <v>1.0704543841318099</v>
      </c>
      <c r="K90" s="2">
        <v>0.276920535105107</v>
      </c>
      <c r="L90" s="6">
        <f t="shared" si="6"/>
        <v>0.70821170792349175</v>
      </c>
      <c r="M90" s="7">
        <f t="shared" si="7"/>
        <v>0.34646475651702002</v>
      </c>
      <c r="N90" s="7">
        <f t="shared" si="8"/>
        <v>0.69259578210337092</v>
      </c>
      <c r="O90" s="7">
        <f t="shared" si="9"/>
        <v>0.35711211600301979</v>
      </c>
      <c r="P90" s="8">
        <f t="shared" si="10"/>
        <v>0.64288788399698027</v>
      </c>
      <c r="Q90" s="9">
        <f t="shared" si="11"/>
        <v>0.58193807997021163</v>
      </c>
    </row>
    <row r="91" spans="1:17" x14ac:dyDescent="0.3">
      <c r="A91" s="1" t="s">
        <v>33</v>
      </c>
      <c r="B91" s="1" t="s">
        <v>16</v>
      </c>
      <c r="C91" s="10">
        <v>3.9044140882677401E-2</v>
      </c>
      <c r="D91" s="10">
        <v>1.06310829355501</v>
      </c>
      <c r="E91" s="3">
        <v>324</v>
      </c>
      <c r="F91" s="10">
        <v>0.198610097396649</v>
      </c>
      <c r="G91" s="10">
        <v>0.32526492147821501</v>
      </c>
      <c r="H91" s="2">
        <v>1.2506018156879799</v>
      </c>
      <c r="I91" s="2">
        <v>0.16200000000000001</v>
      </c>
      <c r="J91" s="2">
        <v>0.47317874579788</v>
      </c>
      <c r="K91" s="2">
        <v>0.31117003049931102</v>
      </c>
      <c r="L91" s="6">
        <f t="shared" si="6"/>
        <v>0.18629124446212475</v>
      </c>
      <c r="M91" s="7">
        <f t="shared" si="7"/>
        <v>0.19441987451588147</v>
      </c>
      <c r="N91" s="7">
        <f t="shared" si="8"/>
        <v>0.48123696654659415</v>
      </c>
      <c r="O91" s="7">
        <f t="shared" si="9"/>
        <v>0.38478779382911243</v>
      </c>
      <c r="P91" s="8">
        <f t="shared" si="10"/>
        <v>0.61521220617088757</v>
      </c>
      <c r="Q91" s="9">
        <f t="shared" si="11"/>
        <v>0.36299774244534511</v>
      </c>
    </row>
    <row r="92" spans="1:17" x14ac:dyDescent="0.3">
      <c r="A92" s="1" t="s">
        <v>34</v>
      </c>
      <c r="B92" s="1" t="s">
        <v>12</v>
      </c>
      <c r="C92" s="10">
        <v>8.8593549877104202E-2</v>
      </c>
      <c r="D92" s="10">
        <v>1.02392952273893</v>
      </c>
      <c r="E92" s="3">
        <v>427</v>
      </c>
      <c r="F92" s="10">
        <v>0.13882498361530399</v>
      </c>
      <c r="G92" s="10">
        <v>0.29764981815698099</v>
      </c>
      <c r="H92" s="2">
        <v>1.26800529285424</v>
      </c>
      <c r="I92" s="2">
        <v>0.2135</v>
      </c>
      <c r="J92" s="2">
        <v>0.47039619019858298</v>
      </c>
      <c r="K92" s="2">
        <v>0.27214005938564301</v>
      </c>
      <c r="L92" s="6">
        <f t="shared" si="6"/>
        <v>0.35370640147444266</v>
      </c>
      <c r="M92" s="7">
        <f t="shared" si="7"/>
        <v>0.18408708224481565</v>
      </c>
      <c r="N92" s="7">
        <f t="shared" si="8"/>
        <v>0.46057368760237499</v>
      </c>
      <c r="O92" s="7">
        <f t="shared" si="9"/>
        <v>0.34096132211729713</v>
      </c>
      <c r="P92" s="8">
        <f t="shared" si="10"/>
        <v>0.65903867788270287</v>
      </c>
      <c r="Q92" s="9">
        <f t="shared" si="11"/>
        <v>0.3959472468255863</v>
      </c>
    </row>
    <row r="93" spans="1:17" hidden="1" x14ac:dyDescent="0.3">
      <c r="A93" s="1" t="s">
        <v>34</v>
      </c>
      <c r="B93" s="1" t="s">
        <v>13</v>
      </c>
      <c r="C93" s="10">
        <v>8.7765129077431198E-2</v>
      </c>
      <c r="D93" s="10">
        <v>0.999444642168966</v>
      </c>
      <c r="E93" s="3">
        <v>419</v>
      </c>
      <c r="F93" s="10">
        <v>0.103002866982564</v>
      </c>
      <c r="G93" s="10">
        <v>0.29238938894059902</v>
      </c>
      <c r="H93" s="2">
        <v>1.2327480659057899</v>
      </c>
      <c r="I93" s="2">
        <v>0.20949999999999999</v>
      </c>
      <c r="J93" s="2">
        <v>0.42326303354979999</v>
      </c>
      <c r="K93" s="2">
        <v>0.26743162359637401</v>
      </c>
      <c r="L93" s="6">
        <f t="shared" si="6"/>
        <v>0.35090737316988452</v>
      </c>
      <c r="M93" s="7">
        <f t="shared" si="7"/>
        <v>0.17762957529803169</v>
      </c>
      <c r="N93" s="7">
        <f t="shared" si="8"/>
        <v>0.44819263918517471</v>
      </c>
      <c r="O93" s="7">
        <f t="shared" si="9"/>
        <v>0.33261277279043294</v>
      </c>
      <c r="P93" s="8">
        <f t="shared" si="10"/>
        <v>0.66738722720956711</v>
      </c>
      <c r="Q93" s="9">
        <f t="shared" si="11"/>
        <v>0.39140558442085227</v>
      </c>
    </row>
    <row r="94" spans="1:17" hidden="1" x14ac:dyDescent="0.3">
      <c r="A94" s="1" t="s">
        <v>34</v>
      </c>
      <c r="B94" s="1" t="s">
        <v>14</v>
      </c>
      <c r="C94" s="10">
        <v>9.0016883198515696E-2</v>
      </c>
      <c r="D94" s="10">
        <v>1.0114623370308</v>
      </c>
      <c r="E94" s="3">
        <v>361</v>
      </c>
      <c r="F94" s="10">
        <v>0.12582211039864499</v>
      </c>
      <c r="G94" s="10">
        <v>0.32785511768009901</v>
      </c>
      <c r="H94" s="2">
        <v>1.2122974868818399</v>
      </c>
      <c r="I94" s="2">
        <v>0.18049999999999999</v>
      </c>
      <c r="J94" s="2">
        <v>0.38851764194376598</v>
      </c>
      <c r="K94" s="2">
        <v>0.29188550133207197</v>
      </c>
      <c r="L94" s="6">
        <f t="shared" si="6"/>
        <v>0.35851549155888279</v>
      </c>
      <c r="M94" s="7">
        <f t="shared" si="7"/>
        <v>0.1807990556568545</v>
      </c>
      <c r="N94" s="7">
        <f t="shared" si="8"/>
        <v>0.4560795588910907</v>
      </c>
      <c r="O94" s="7">
        <f t="shared" si="9"/>
        <v>0.38889855739386914</v>
      </c>
      <c r="P94" s="8">
        <f t="shared" si="10"/>
        <v>0.61110144260613086</v>
      </c>
      <c r="Q94" s="9">
        <f t="shared" si="11"/>
        <v>0.38498697119738629</v>
      </c>
    </row>
    <row r="95" spans="1:17" x14ac:dyDescent="0.3">
      <c r="A95" s="1" t="s">
        <v>34</v>
      </c>
      <c r="B95" s="1" t="s">
        <v>15</v>
      </c>
      <c r="C95" s="10">
        <v>0.140730486376277</v>
      </c>
      <c r="D95" s="10">
        <v>1.2210772785959401</v>
      </c>
      <c r="E95" s="3">
        <v>349</v>
      </c>
      <c r="F95" s="10">
        <v>0.39443523549461201</v>
      </c>
      <c r="G95" s="10">
        <v>0.27439724875001298</v>
      </c>
      <c r="H95" s="2">
        <v>1.4545836217102599</v>
      </c>
      <c r="I95" s="2">
        <v>0.17449999999999999</v>
      </c>
      <c r="J95" s="2">
        <v>0.64376215162787997</v>
      </c>
      <c r="K95" s="2">
        <v>0.22466457015999999</v>
      </c>
      <c r="L95" s="6">
        <f t="shared" si="6"/>
        <v>0.52986417181499357</v>
      </c>
      <c r="M95" s="7">
        <f t="shared" si="7"/>
        <v>0.23608174071789892</v>
      </c>
      <c r="N95" s="7">
        <f t="shared" si="8"/>
        <v>0.54891919037922765</v>
      </c>
      <c r="O95" s="7">
        <f t="shared" si="9"/>
        <v>0.30405839752972513</v>
      </c>
      <c r="P95" s="8">
        <f t="shared" si="10"/>
        <v>0.69594160247027492</v>
      </c>
      <c r="Q95" s="9">
        <f t="shared" si="11"/>
        <v>0.48066143418619162</v>
      </c>
    </row>
    <row r="96" spans="1:17" x14ac:dyDescent="0.3">
      <c r="A96" s="1" t="s">
        <v>34</v>
      </c>
      <c r="B96" s="1" t="s">
        <v>16</v>
      </c>
      <c r="C96" s="10">
        <v>8.6530297071476095E-2</v>
      </c>
      <c r="D96" s="10">
        <v>1.15150593139359</v>
      </c>
      <c r="E96" s="3">
        <v>449</v>
      </c>
      <c r="F96" s="10">
        <v>0.32032056477039</v>
      </c>
      <c r="G96" s="10">
        <v>0.30618838765168799</v>
      </c>
      <c r="H96" s="2">
        <v>1.44168649706228</v>
      </c>
      <c r="I96" s="2">
        <v>0.22450000000000001</v>
      </c>
      <c r="J96" s="2">
        <v>0.66842516764049797</v>
      </c>
      <c r="K96" s="2">
        <v>0.272688147407458</v>
      </c>
      <c r="L96" s="6">
        <f t="shared" si="6"/>
        <v>0.3467351822526516</v>
      </c>
      <c r="M96" s="7">
        <f t="shared" si="7"/>
        <v>0.21773337848788643</v>
      </c>
      <c r="N96" s="7">
        <f t="shared" si="8"/>
        <v>0.52330324657364069</v>
      </c>
      <c r="O96" s="7">
        <f t="shared" si="9"/>
        <v>0.3545124347119547</v>
      </c>
      <c r="P96" s="8">
        <f t="shared" si="10"/>
        <v>0.6454875652880453</v>
      </c>
      <c r="Q96" s="9">
        <f t="shared" si="11"/>
        <v>0.42075553702659751</v>
      </c>
    </row>
    <row r="97" spans="1:17" x14ac:dyDescent="0.3">
      <c r="A97" s="1" t="s">
        <v>35</v>
      </c>
      <c r="B97" s="1" t="s">
        <v>12</v>
      </c>
      <c r="C97" s="10">
        <v>5.4839599639896597E-2</v>
      </c>
      <c r="D97" s="10">
        <v>1.04542674821412</v>
      </c>
      <c r="E97" s="3">
        <v>292</v>
      </c>
      <c r="F97" s="10">
        <v>0.19021010922405501</v>
      </c>
      <c r="G97" s="10">
        <v>0.15155504067366299</v>
      </c>
      <c r="H97" s="2">
        <v>1.20989368542336</v>
      </c>
      <c r="I97" s="2">
        <v>0.14599999999999999</v>
      </c>
      <c r="J97" s="2">
        <v>0.64961676404595403</v>
      </c>
      <c r="K97" s="2">
        <v>0.113714951325187</v>
      </c>
      <c r="L97" s="6">
        <f t="shared" si="6"/>
        <v>0.23966017986595325</v>
      </c>
      <c r="M97" s="7">
        <f t="shared" si="7"/>
        <v>0.18975664156514621</v>
      </c>
      <c r="N97" s="7">
        <f t="shared" si="8"/>
        <v>0.47833371375070144</v>
      </c>
      <c r="O97" s="7">
        <f t="shared" si="9"/>
        <v>0.1091020182379851</v>
      </c>
      <c r="P97" s="8">
        <f t="shared" si="10"/>
        <v>0.89089798176201485</v>
      </c>
      <c r="Q97" s="9">
        <f t="shared" si="11"/>
        <v>0.42653873892034794</v>
      </c>
    </row>
    <row r="98" spans="1:17" hidden="1" x14ac:dyDescent="0.3">
      <c r="A98" s="1" t="s">
        <v>35</v>
      </c>
      <c r="B98" s="1" t="s">
        <v>13</v>
      </c>
      <c r="C98" s="10">
        <v>5.8328472883923399E-2</v>
      </c>
      <c r="D98" s="10">
        <v>1.08003884184191</v>
      </c>
      <c r="E98" s="3">
        <v>308</v>
      </c>
      <c r="F98" s="10">
        <v>0.28853304691322201</v>
      </c>
      <c r="G98" s="10">
        <v>0.13931713391787801</v>
      </c>
      <c r="H98" s="2">
        <v>1.2599913976769199</v>
      </c>
      <c r="I98" s="2">
        <v>0.154</v>
      </c>
      <c r="J98" s="2">
        <v>0.76432058733031005</v>
      </c>
      <c r="K98" s="2">
        <v>0.100039663910997</v>
      </c>
      <c r="L98" s="6">
        <f t="shared" si="6"/>
        <v>0.25144821677292262</v>
      </c>
      <c r="M98" s="7">
        <f t="shared" si="7"/>
        <v>0.19888504365824738</v>
      </c>
      <c r="N98" s="7">
        <f t="shared" si="8"/>
        <v>0.51231665966457696</v>
      </c>
      <c r="O98" s="7">
        <f t="shared" si="9"/>
        <v>8.9679882893959978E-2</v>
      </c>
      <c r="P98" s="8">
        <f t="shared" si="10"/>
        <v>0.91032011710603999</v>
      </c>
      <c r="Q98" s="9">
        <f t="shared" si="11"/>
        <v>0.44571417777263977</v>
      </c>
    </row>
    <row r="99" spans="1:17" hidden="1" x14ac:dyDescent="0.3">
      <c r="A99" s="1" t="s">
        <v>35</v>
      </c>
      <c r="B99" s="1" t="s">
        <v>14</v>
      </c>
      <c r="C99" s="10">
        <v>5.0329743989134999E-2</v>
      </c>
      <c r="D99" s="10">
        <v>1.2003956437637</v>
      </c>
      <c r="E99" s="3">
        <v>347</v>
      </c>
      <c r="F99" s="10">
        <v>0.63139895955421199</v>
      </c>
      <c r="G99" s="10">
        <v>0.105504593067742</v>
      </c>
      <c r="H99" s="2">
        <v>1.42791503165667</v>
      </c>
      <c r="I99" s="2">
        <v>0.17349999999999999</v>
      </c>
      <c r="J99" s="2">
        <v>1.18840661865935</v>
      </c>
      <c r="K99" s="2">
        <v>7.6706017303024704E-2</v>
      </c>
      <c r="L99" s="6">
        <f t="shared" si="6"/>
        <v>0.22442249676946938</v>
      </c>
      <c r="M99" s="7">
        <f t="shared" si="7"/>
        <v>0.23062728076174666</v>
      </c>
      <c r="N99" s="7">
        <f t="shared" si="8"/>
        <v>0.63081997169767601</v>
      </c>
      <c r="O99" s="7">
        <f t="shared" si="9"/>
        <v>3.6017785459994373E-2</v>
      </c>
      <c r="P99" s="8">
        <f t="shared" si="10"/>
        <v>0.96398221454000566</v>
      </c>
      <c r="Q99" s="9">
        <f t="shared" si="11"/>
        <v>0.4961151179997218</v>
      </c>
    </row>
    <row r="100" spans="1:17" x14ac:dyDescent="0.3">
      <c r="A100" s="1" t="s">
        <v>35</v>
      </c>
      <c r="B100" s="1" t="s">
        <v>15</v>
      </c>
      <c r="C100" s="10">
        <v>5.93027917711135E-2</v>
      </c>
      <c r="D100" s="10">
        <v>0.95812922614204898</v>
      </c>
      <c r="E100" s="3">
        <v>60</v>
      </c>
      <c r="F100" s="10">
        <v>-0.32951038938202898</v>
      </c>
      <c r="G100" s="10">
        <v>8.2809750703517704E-2</v>
      </c>
      <c r="H100" s="2">
        <v>0.98732657282681702</v>
      </c>
      <c r="I100" s="2">
        <v>0.03</v>
      </c>
      <c r="J100" s="2">
        <v>-8.5109377257976196E-2</v>
      </c>
      <c r="K100" s="2">
        <v>6.8656623317054494E-2</v>
      </c>
      <c r="L100" s="6">
        <f t="shared" si="6"/>
        <v>0.25474019850972485</v>
      </c>
      <c r="M100" s="7">
        <f t="shared" si="7"/>
        <v>0.16673327603936317</v>
      </c>
      <c r="N100" s="7">
        <f t="shared" si="8"/>
        <v>0.29870489051214538</v>
      </c>
      <c r="O100" s="7">
        <f t="shared" si="9"/>
        <v>0</v>
      </c>
      <c r="P100" s="8">
        <f t="shared" si="10"/>
        <v>1</v>
      </c>
      <c r="Q100" s="9">
        <f t="shared" si="11"/>
        <v>0.39057948966739753</v>
      </c>
    </row>
    <row r="101" spans="1:17" x14ac:dyDescent="0.3">
      <c r="A101" s="1" t="s">
        <v>35</v>
      </c>
      <c r="B101" s="1" t="s">
        <v>16</v>
      </c>
      <c r="C101" s="10">
        <v>3.2555954852156198E-2</v>
      </c>
      <c r="D101" s="10">
        <v>1.1783855097131399</v>
      </c>
      <c r="E101" s="3">
        <v>309</v>
      </c>
      <c r="F101" s="10">
        <v>0.55548714614346695</v>
      </c>
      <c r="G101" s="10">
        <v>9.0517480211927501E-2</v>
      </c>
      <c r="H101" s="2">
        <v>1.3754376761122</v>
      </c>
      <c r="I101" s="2">
        <v>0.1545</v>
      </c>
      <c r="J101" s="2">
        <v>1.0343828143407601</v>
      </c>
      <c r="K101" s="2">
        <v>8.9110172281775896E-2</v>
      </c>
      <c r="L101" s="6">
        <f t="shared" si="6"/>
        <v>0.16436927394685563</v>
      </c>
      <c r="M101" s="7">
        <f t="shared" si="7"/>
        <v>0.22482244977124993</v>
      </c>
      <c r="N101" s="7">
        <f t="shared" si="8"/>
        <v>0.60458288897831192</v>
      </c>
      <c r="O101" s="7">
        <f t="shared" si="9"/>
        <v>1.2232530341572205E-2</v>
      </c>
      <c r="P101" s="8">
        <f t="shared" si="10"/>
        <v>0.98776746965842777</v>
      </c>
      <c r="Q101" s="9">
        <f t="shared" si="11"/>
        <v>0.47924895034592518</v>
      </c>
    </row>
    <row r="102" spans="1:17" x14ac:dyDescent="0.3">
      <c r="A102" s="1" t="s">
        <v>36</v>
      </c>
      <c r="B102" s="1" t="s">
        <v>12</v>
      </c>
      <c r="C102" s="10">
        <v>0.107339399564597</v>
      </c>
      <c r="D102" s="10">
        <v>1.4961183690662101</v>
      </c>
      <c r="E102" s="3">
        <v>437</v>
      </c>
      <c r="F102" s="10">
        <v>0.92012221581364095</v>
      </c>
      <c r="G102" s="10">
        <v>0.162190684062862</v>
      </c>
      <c r="H102" s="2">
        <v>1.8617055489021399</v>
      </c>
      <c r="I102" s="2">
        <v>0.2185</v>
      </c>
      <c r="J102" s="2">
        <v>1.3831354126320099</v>
      </c>
      <c r="K102" s="2">
        <v>0.139799375719449</v>
      </c>
      <c r="L102" s="6">
        <f t="shared" si="6"/>
        <v>0.41704397567464974</v>
      </c>
      <c r="M102" s="7">
        <f t="shared" si="7"/>
        <v>0.30861955634202543</v>
      </c>
      <c r="N102" s="7">
        <f t="shared" si="8"/>
        <v>0.7306101837493163</v>
      </c>
      <c r="O102" s="7">
        <f t="shared" si="9"/>
        <v>0.12598128603254996</v>
      </c>
      <c r="P102" s="8">
        <f t="shared" si="10"/>
        <v>0.87401871396745001</v>
      </c>
      <c r="Q102" s="9">
        <f t="shared" si="11"/>
        <v>0.5699814599558225</v>
      </c>
    </row>
    <row r="103" spans="1:17" hidden="1" x14ac:dyDescent="0.3">
      <c r="A103" s="1" t="s">
        <v>36</v>
      </c>
      <c r="B103" s="1" t="s">
        <v>13</v>
      </c>
      <c r="C103" s="10">
        <v>0.10617545038817899</v>
      </c>
      <c r="D103" s="10">
        <v>1.5080056777555599</v>
      </c>
      <c r="E103" s="3">
        <v>435</v>
      </c>
      <c r="F103" s="10">
        <v>0.95282771473579098</v>
      </c>
      <c r="G103" s="10">
        <v>0.13419187292489199</v>
      </c>
      <c r="H103" s="2">
        <v>1.8746011010044601</v>
      </c>
      <c r="I103" s="2">
        <v>0.2175</v>
      </c>
      <c r="J103" s="2">
        <v>1.4232391402850799</v>
      </c>
      <c r="K103" s="2">
        <v>0.12145730682100001</v>
      </c>
      <c r="L103" s="6">
        <f t="shared" si="6"/>
        <v>0.41311128024842786</v>
      </c>
      <c r="M103" s="7">
        <f t="shared" si="7"/>
        <v>0.31175464937303687</v>
      </c>
      <c r="N103" s="7">
        <f t="shared" si="8"/>
        <v>0.74191404861624433</v>
      </c>
      <c r="O103" s="7">
        <f t="shared" si="9"/>
        <v>8.1545851914178916E-2</v>
      </c>
      <c r="P103" s="8">
        <f t="shared" si="10"/>
        <v>0.91845414808582104</v>
      </c>
      <c r="Q103" s="9">
        <f t="shared" si="11"/>
        <v>0.58241369506363416</v>
      </c>
    </row>
    <row r="104" spans="1:17" hidden="1" x14ac:dyDescent="0.3">
      <c r="A104" s="1" t="s">
        <v>36</v>
      </c>
      <c r="B104" s="1" t="s">
        <v>14</v>
      </c>
      <c r="C104" s="10">
        <v>0.15764632794663699</v>
      </c>
      <c r="D104" s="10">
        <v>1.66684066217779</v>
      </c>
      <c r="E104" s="3">
        <v>387</v>
      </c>
      <c r="F104" s="10">
        <v>1.1107605018656601</v>
      </c>
      <c r="G104" s="10">
        <v>0.126587891765437</v>
      </c>
      <c r="H104" s="2">
        <v>2.0235388460891701</v>
      </c>
      <c r="I104" s="2">
        <v>0.19350000000000001</v>
      </c>
      <c r="J104" s="2">
        <v>1.5127043154508499</v>
      </c>
      <c r="K104" s="2">
        <v>0.121457306821001</v>
      </c>
      <c r="L104" s="6">
        <f t="shared" si="6"/>
        <v>0.58701860271478168</v>
      </c>
      <c r="M104" s="7">
        <f t="shared" si="7"/>
        <v>0.35364490946101496</v>
      </c>
      <c r="N104" s="7">
        <f t="shared" si="8"/>
        <v>0.79649969759297634</v>
      </c>
      <c r="O104" s="7">
        <f t="shared" si="9"/>
        <v>6.9477975096720782E-2</v>
      </c>
      <c r="P104" s="8">
        <f t="shared" si="10"/>
        <v>0.93052202490327918</v>
      </c>
      <c r="Q104" s="9">
        <f t="shared" si="11"/>
        <v>0.64855150763980962</v>
      </c>
    </row>
    <row r="105" spans="1:17" x14ac:dyDescent="0.3">
      <c r="A105" s="1" t="s">
        <v>36</v>
      </c>
      <c r="B105" s="1" t="s">
        <v>15</v>
      </c>
      <c r="C105" s="10">
        <v>0.16358158159290401</v>
      </c>
      <c r="D105" s="10">
        <v>1.54433544748934</v>
      </c>
      <c r="E105" s="3">
        <v>345</v>
      </c>
      <c r="F105" s="10">
        <v>0.91594411106571405</v>
      </c>
      <c r="G105" s="10">
        <v>0.18740627070739699</v>
      </c>
      <c r="H105" s="2">
        <v>1.8360347961488801</v>
      </c>
      <c r="I105" s="2">
        <v>0.17249999999999999</v>
      </c>
      <c r="J105" s="2">
        <v>1.25586201881253</v>
      </c>
      <c r="K105" s="2">
        <v>0.16839654375266899</v>
      </c>
      <c r="L105" s="6">
        <f t="shared" si="6"/>
        <v>0.60707235191710796</v>
      </c>
      <c r="M105" s="7">
        <f t="shared" si="7"/>
        <v>0.32133606185984043</v>
      </c>
      <c r="N105" s="7">
        <f t="shared" si="8"/>
        <v>0.72916612287188221</v>
      </c>
      <c r="O105" s="7">
        <f t="shared" si="9"/>
        <v>0.16599961158137352</v>
      </c>
      <c r="P105" s="8">
        <f t="shared" si="10"/>
        <v>0.83400038841862645</v>
      </c>
      <c r="Q105" s="9">
        <f t="shared" si="11"/>
        <v>0.60336520348666367</v>
      </c>
    </row>
    <row r="106" spans="1:17" x14ac:dyDescent="0.3">
      <c r="A106" s="1" t="s">
        <v>36</v>
      </c>
      <c r="B106" s="1" t="s">
        <v>16</v>
      </c>
      <c r="C106" s="10">
        <v>5.5951661408216898E-2</v>
      </c>
      <c r="D106" s="10">
        <v>1.08451318648246</v>
      </c>
      <c r="E106" s="3">
        <v>377</v>
      </c>
      <c r="F106" s="10">
        <v>0.25831030275251798</v>
      </c>
      <c r="G106" s="10">
        <v>0.17293237442892601</v>
      </c>
      <c r="H106" s="2">
        <v>1.30982350867841</v>
      </c>
      <c r="I106" s="2">
        <v>0.1885</v>
      </c>
      <c r="J106" s="2">
        <v>0.70570424061986403</v>
      </c>
      <c r="K106" s="2">
        <v>0.14593803107242301</v>
      </c>
      <c r="L106" s="6">
        <f t="shared" si="6"/>
        <v>0.2434175606163812</v>
      </c>
      <c r="M106" s="7">
        <f t="shared" si="7"/>
        <v>0.20006508256087124</v>
      </c>
      <c r="N106" s="7">
        <f t="shared" si="8"/>
        <v>0.50187089894667625</v>
      </c>
      <c r="O106" s="7">
        <f t="shared" si="9"/>
        <v>0.14302885538216001</v>
      </c>
      <c r="P106" s="8">
        <f t="shared" si="10"/>
        <v>0.85697114461783996</v>
      </c>
      <c r="Q106" s="9">
        <f t="shared" si="11"/>
        <v>0.43065853549910849</v>
      </c>
    </row>
    <row r="107" spans="1:17" x14ac:dyDescent="0.3">
      <c r="A107" s="1" t="s">
        <v>37</v>
      </c>
      <c r="B107" s="1" t="s">
        <v>12</v>
      </c>
      <c r="C107" s="10">
        <v>9.0037633362684194E-2</v>
      </c>
      <c r="D107" s="10">
        <v>1.0201123847623199</v>
      </c>
      <c r="E107" s="3">
        <v>335</v>
      </c>
      <c r="F107" s="10">
        <v>0.133819810087978</v>
      </c>
      <c r="G107" s="10">
        <v>0.20801027913321901</v>
      </c>
      <c r="H107" s="2">
        <v>1.2066889320495</v>
      </c>
      <c r="I107" s="2">
        <v>0.16749999999999901</v>
      </c>
      <c r="J107" s="2">
        <v>0.39360348329995598</v>
      </c>
      <c r="K107" s="2">
        <v>0.18572302758349599</v>
      </c>
      <c r="L107" s="6">
        <f t="shared" si="6"/>
        <v>0.35858560121433181</v>
      </c>
      <c r="M107" s="7">
        <f t="shared" si="7"/>
        <v>0.18308037139195446</v>
      </c>
      <c r="N107" s="7">
        <f t="shared" si="8"/>
        <v>0.45884377040028329</v>
      </c>
      <c r="O107" s="7">
        <f t="shared" si="9"/>
        <v>0.19869914494614468</v>
      </c>
      <c r="P107" s="8">
        <f t="shared" si="10"/>
        <v>0.80130085505385529</v>
      </c>
      <c r="Q107" s="9">
        <f t="shared" si="11"/>
        <v>0.42455453379130875</v>
      </c>
    </row>
    <row r="108" spans="1:17" hidden="1" x14ac:dyDescent="0.3">
      <c r="A108" s="1" t="s">
        <v>37</v>
      </c>
      <c r="B108" s="1" t="s">
        <v>13</v>
      </c>
      <c r="C108" s="10">
        <v>9.1496699424123307E-2</v>
      </c>
      <c r="D108" s="10">
        <v>1.0436255158596901</v>
      </c>
      <c r="E108" s="3">
        <v>341</v>
      </c>
      <c r="F108" s="10">
        <v>0.168935496810105</v>
      </c>
      <c r="G108" s="10">
        <v>0.19763130254060901</v>
      </c>
      <c r="H108" s="2">
        <v>1.2382698581748699</v>
      </c>
      <c r="I108" s="2">
        <v>0.17049999999999901</v>
      </c>
      <c r="J108" s="2">
        <v>0.43398466298292898</v>
      </c>
      <c r="K108" s="2">
        <v>0.18552188480456999</v>
      </c>
      <c r="L108" s="6">
        <f t="shared" si="6"/>
        <v>0.36351542336003384</v>
      </c>
      <c r="M108" s="7">
        <f t="shared" si="7"/>
        <v>0.18928159450872842</v>
      </c>
      <c r="N108" s="7">
        <f t="shared" si="8"/>
        <v>0.4709806584007129</v>
      </c>
      <c r="O108" s="7">
        <f t="shared" si="9"/>
        <v>0.18222721946600892</v>
      </c>
      <c r="P108" s="8">
        <f t="shared" si="10"/>
        <v>0.81777278053399105</v>
      </c>
      <c r="Q108" s="9">
        <f t="shared" si="11"/>
        <v>0.43433631665163741</v>
      </c>
    </row>
    <row r="109" spans="1:17" hidden="1" x14ac:dyDescent="0.3">
      <c r="A109" s="1" t="s">
        <v>37</v>
      </c>
      <c r="B109" s="1" t="s">
        <v>14</v>
      </c>
      <c r="C109" s="10">
        <v>9.2073278459258098E-2</v>
      </c>
      <c r="D109" s="10">
        <v>0.96789921982590899</v>
      </c>
      <c r="E109" s="3">
        <v>319</v>
      </c>
      <c r="F109" s="10">
        <v>2.10879775981174E-2</v>
      </c>
      <c r="G109" s="10">
        <v>0.26172212290574998</v>
      </c>
      <c r="H109" s="2">
        <v>1.13559383311861</v>
      </c>
      <c r="I109" s="2">
        <v>0.159499999999999</v>
      </c>
      <c r="J109" s="2">
        <v>0.32666830093544802</v>
      </c>
      <c r="K109" s="2">
        <v>0.19829814742565</v>
      </c>
      <c r="L109" s="6">
        <f t="shared" si="6"/>
        <v>0.3654635408382455</v>
      </c>
      <c r="M109" s="7">
        <f t="shared" si="7"/>
        <v>0.16930996012419203</v>
      </c>
      <c r="N109" s="7">
        <f t="shared" si="8"/>
        <v>0.41988073841291534</v>
      </c>
      <c r="O109" s="7">
        <f t="shared" si="9"/>
        <v>0.28394237486649837</v>
      </c>
      <c r="P109" s="8">
        <f t="shared" si="10"/>
        <v>0.71605762513350157</v>
      </c>
      <c r="Q109" s="9">
        <f t="shared" si="11"/>
        <v>0.3930614427554816</v>
      </c>
    </row>
    <row r="110" spans="1:17" x14ac:dyDescent="0.3">
      <c r="A110" s="1" t="s">
        <v>37</v>
      </c>
      <c r="B110" s="1" t="s">
        <v>15</v>
      </c>
      <c r="C110" s="10">
        <v>3.27254354035958E-2</v>
      </c>
      <c r="D110" s="10">
        <v>1.0864381754261201</v>
      </c>
      <c r="E110" s="3">
        <v>327</v>
      </c>
      <c r="F110" s="10">
        <v>0.24249942665282201</v>
      </c>
      <c r="G110" s="10">
        <v>0.24532451252729301</v>
      </c>
      <c r="H110" s="2">
        <v>1.27971846622505</v>
      </c>
      <c r="I110" s="2">
        <v>0.16350000000000001</v>
      </c>
      <c r="J110" s="2">
        <v>0.56001458946447902</v>
      </c>
      <c r="K110" s="2">
        <v>0.18105475372861499</v>
      </c>
      <c r="L110" s="6">
        <f t="shared" si="6"/>
        <v>0.16494190667256556</v>
      </c>
      <c r="M110" s="7">
        <f t="shared" si="7"/>
        <v>0.20057276849548905</v>
      </c>
      <c r="N110" s="7">
        <f t="shared" si="8"/>
        <v>0.49640625193780075</v>
      </c>
      <c r="O110" s="7">
        <f t="shared" si="9"/>
        <v>0.25791859363949771</v>
      </c>
      <c r="P110" s="8">
        <f t="shared" si="10"/>
        <v>0.74208140636050235</v>
      </c>
      <c r="Q110" s="9">
        <f t="shared" si="11"/>
        <v>0.39049836873660049</v>
      </c>
    </row>
    <row r="111" spans="1:17" x14ac:dyDescent="0.3">
      <c r="A111" s="1" t="s">
        <v>37</v>
      </c>
      <c r="B111" s="1" t="s">
        <v>16</v>
      </c>
      <c r="C111" s="10">
        <v>9.5545800101572501E-2</v>
      </c>
      <c r="D111" s="10">
        <v>1.07465474373003</v>
      </c>
      <c r="E111" s="3">
        <v>357</v>
      </c>
      <c r="F111" s="10">
        <v>0.214536399900358</v>
      </c>
      <c r="G111" s="10">
        <v>0.225032549371915</v>
      </c>
      <c r="H111" s="2">
        <v>1.2852620071994201</v>
      </c>
      <c r="I111" s="2">
        <v>0.17849999999999999</v>
      </c>
      <c r="J111" s="2">
        <v>0.499598509830667</v>
      </c>
      <c r="K111" s="2">
        <v>0.196489369458932</v>
      </c>
      <c r="L111" s="6">
        <f t="shared" si="6"/>
        <v>0.37719632974077566</v>
      </c>
      <c r="M111" s="7">
        <f t="shared" si="7"/>
        <v>0.19746507140801381</v>
      </c>
      <c r="N111" s="7">
        <f t="shared" si="8"/>
        <v>0.48674150790094789</v>
      </c>
      <c r="O111" s="7">
        <f t="shared" si="9"/>
        <v>0.22571429083964006</v>
      </c>
      <c r="P111" s="8">
        <f t="shared" si="10"/>
        <v>0.77428570916035988</v>
      </c>
      <c r="Q111" s="9">
        <f t="shared" si="11"/>
        <v>0.4355583815729156</v>
      </c>
    </row>
    <row r="112" spans="1:17" x14ac:dyDescent="0.3">
      <c r="A112" s="1" t="s">
        <v>38</v>
      </c>
      <c r="B112" s="1" t="s">
        <v>12</v>
      </c>
      <c r="C112" s="10">
        <v>9.4271664563254698E-2</v>
      </c>
      <c r="D112" s="10">
        <v>0.939359312125707</v>
      </c>
      <c r="E112" s="3">
        <v>354</v>
      </c>
      <c r="F112" s="10">
        <v>-2.88960983223766E-2</v>
      </c>
      <c r="G112" s="10">
        <v>0.32837068974878098</v>
      </c>
      <c r="H112" s="2">
        <v>1.12165581523944</v>
      </c>
      <c r="I112" s="2">
        <v>0.17699999999999999</v>
      </c>
      <c r="J112" s="2">
        <v>0.29734620899518799</v>
      </c>
      <c r="K112" s="2">
        <v>0.282716420194218</v>
      </c>
      <c r="L112" s="6">
        <f t="shared" si="6"/>
        <v>0.37289134194109391</v>
      </c>
      <c r="M112" s="7">
        <f t="shared" si="7"/>
        <v>0.1617830027552144</v>
      </c>
      <c r="N112" s="7">
        <f t="shared" si="8"/>
        <v>0.40260495121124446</v>
      </c>
      <c r="O112" s="7">
        <f t="shared" si="9"/>
        <v>0.38971679458895209</v>
      </c>
      <c r="P112" s="8">
        <f t="shared" si="10"/>
        <v>0.61028320541104786</v>
      </c>
      <c r="Q112" s="9">
        <f t="shared" si="11"/>
        <v>0.36595129566036599</v>
      </c>
    </row>
    <row r="113" spans="1:17" hidden="1" x14ac:dyDescent="0.3">
      <c r="A113" s="1" t="s">
        <v>38</v>
      </c>
      <c r="B113" s="1" t="s">
        <v>13</v>
      </c>
      <c r="C113" s="10">
        <v>9.5334026750550804E-2</v>
      </c>
      <c r="D113" s="10">
        <v>0.92990164414731402</v>
      </c>
      <c r="E113" s="3">
        <v>354</v>
      </c>
      <c r="F113" s="10">
        <v>-4.7309585302034302E-2</v>
      </c>
      <c r="G113" s="10">
        <v>0.32711358195411</v>
      </c>
      <c r="H113" s="2">
        <v>1.1103637896949301</v>
      </c>
      <c r="I113" s="2">
        <v>0.17699999999999999</v>
      </c>
      <c r="J113" s="2">
        <v>0.27860151626669399</v>
      </c>
      <c r="K113" s="2">
        <v>0.28137318552835899</v>
      </c>
      <c r="L113" s="6">
        <f t="shared" si="6"/>
        <v>0.37648080014048702</v>
      </c>
      <c r="M113" s="7">
        <f t="shared" si="7"/>
        <v>0.15928868972410376</v>
      </c>
      <c r="N113" s="7">
        <f t="shared" si="8"/>
        <v>0.39624077468415825</v>
      </c>
      <c r="O113" s="7">
        <f t="shared" si="9"/>
        <v>0.38772170521481653</v>
      </c>
      <c r="P113" s="8">
        <f t="shared" si="10"/>
        <v>0.61227829478518347</v>
      </c>
      <c r="Q113" s="9">
        <f t="shared" si="11"/>
        <v>0.36441065830761271</v>
      </c>
    </row>
    <row r="114" spans="1:17" hidden="1" x14ac:dyDescent="0.3">
      <c r="A114" s="1" t="s">
        <v>38</v>
      </c>
      <c r="B114" s="1" t="s">
        <v>14</v>
      </c>
      <c r="C114" s="10">
        <v>9.8634771559257095E-2</v>
      </c>
      <c r="D114" s="10">
        <v>1.0100772324187299</v>
      </c>
      <c r="E114" s="3">
        <v>357</v>
      </c>
      <c r="F114" s="10">
        <v>0.106161398411611</v>
      </c>
      <c r="G114" s="10">
        <v>0.23241381671195099</v>
      </c>
      <c r="H114" s="2">
        <v>1.2079414485147</v>
      </c>
      <c r="I114" s="2">
        <v>0.17849999999999999</v>
      </c>
      <c r="J114" s="2">
        <v>0.42822893305417797</v>
      </c>
      <c r="K114" s="2">
        <v>0.17223196970141399</v>
      </c>
      <c r="L114" s="6">
        <f t="shared" si="6"/>
        <v>0.38763319774969585</v>
      </c>
      <c r="M114" s="7">
        <f t="shared" si="7"/>
        <v>0.18043375582911356</v>
      </c>
      <c r="N114" s="7">
        <f t="shared" si="8"/>
        <v>0.44928430919873663</v>
      </c>
      <c r="O114" s="7">
        <f t="shared" si="9"/>
        <v>0.23742871031916779</v>
      </c>
      <c r="P114" s="8">
        <f t="shared" si="10"/>
        <v>0.76257128968083221</v>
      </c>
      <c r="Q114" s="9">
        <f t="shared" si="11"/>
        <v>0.41895631699446068</v>
      </c>
    </row>
    <row r="115" spans="1:17" x14ac:dyDescent="0.3">
      <c r="A115" s="1" t="s">
        <v>38</v>
      </c>
      <c r="B115" s="1" t="s">
        <v>15</v>
      </c>
      <c r="C115" s="10">
        <v>0.122450900681011</v>
      </c>
      <c r="D115" s="10">
        <v>1.0204647319792</v>
      </c>
      <c r="E115" s="3">
        <v>323</v>
      </c>
      <c r="F115" s="10">
        <v>0.136075608719363</v>
      </c>
      <c r="G115" s="10">
        <v>0.389441021033962</v>
      </c>
      <c r="H115" s="2">
        <v>1.2001154714890201</v>
      </c>
      <c r="I115" s="2">
        <v>0.16149999999999901</v>
      </c>
      <c r="J115" s="2">
        <v>0.37873877399640898</v>
      </c>
      <c r="K115" s="2">
        <v>0.35920557358859501</v>
      </c>
      <c r="L115" s="6">
        <f t="shared" si="6"/>
        <v>0.46810198793834445</v>
      </c>
      <c r="M115" s="7">
        <f t="shared" si="7"/>
        <v>0.1831732974976866</v>
      </c>
      <c r="N115" s="7">
        <f t="shared" si="8"/>
        <v>0.45962343265086919</v>
      </c>
      <c r="O115" s="7">
        <f t="shared" si="9"/>
        <v>0.48663829132813491</v>
      </c>
      <c r="P115" s="8">
        <f t="shared" si="10"/>
        <v>0.51336170867186515</v>
      </c>
      <c r="Q115" s="9">
        <f t="shared" si="11"/>
        <v>0.38913175836660863</v>
      </c>
    </row>
    <row r="116" spans="1:17" x14ac:dyDescent="0.3">
      <c r="A116" s="1" t="s">
        <v>38</v>
      </c>
      <c r="B116" s="1" t="s">
        <v>16</v>
      </c>
      <c r="C116" s="10">
        <v>8.5048808463295697E-2</v>
      </c>
      <c r="D116" s="10">
        <v>0.77951726770799201</v>
      </c>
      <c r="E116" s="3">
        <v>344</v>
      </c>
      <c r="F116" s="10">
        <v>-0.35025704524531298</v>
      </c>
      <c r="G116" s="10">
        <v>0.28850127421164201</v>
      </c>
      <c r="H116" s="2">
        <v>0.92623586898661403</v>
      </c>
      <c r="I116" s="2">
        <v>0.17199999999999999</v>
      </c>
      <c r="J116" s="2">
        <v>-4.66763407396103E-2</v>
      </c>
      <c r="K116" s="2">
        <v>0.24262349459083801</v>
      </c>
      <c r="L116" s="6">
        <f t="shared" si="6"/>
        <v>0.34172959988579876</v>
      </c>
      <c r="M116" s="7">
        <f t="shared" si="7"/>
        <v>0.11962714623526313</v>
      </c>
      <c r="N116" s="7">
        <f t="shared" si="8"/>
        <v>0.29153431057763796</v>
      </c>
      <c r="O116" s="7">
        <f t="shared" si="9"/>
        <v>0.32644215129397453</v>
      </c>
      <c r="P116" s="8">
        <f t="shared" si="10"/>
        <v>0.67355784870602542</v>
      </c>
      <c r="Q116" s="9">
        <f t="shared" si="11"/>
        <v>0.32640592676223523</v>
      </c>
    </row>
    <row r="117" spans="1:17" x14ac:dyDescent="0.3">
      <c r="A117" s="1" t="s">
        <v>39</v>
      </c>
      <c r="B117" s="1" t="s">
        <v>12</v>
      </c>
      <c r="C117" s="10">
        <v>0.166132785917327</v>
      </c>
      <c r="D117" s="10">
        <v>1.3146359473834699</v>
      </c>
      <c r="E117" s="3">
        <v>335</v>
      </c>
      <c r="F117" s="10">
        <v>0.72605012310412897</v>
      </c>
      <c r="G117" s="10">
        <v>0.180290849413791</v>
      </c>
      <c r="H117" s="2">
        <v>1.5544802905098201</v>
      </c>
      <c r="I117" s="2">
        <v>0.16749999999999901</v>
      </c>
      <c r="J117" s="2">
        <v>1.1337322897686799</v>
      </c>
      <c r="K117" s="2">
        <v>0.16826764726481899</v>
      </c>
      <c r="L117" s="6">
        <f t="shared" si="6"/>
        <v>0.61569223823284225</v>
      </c>
      <c r="M117" s="7">
        <f t="shared" si="7"/>
        <v>0.2607563864406337</v>
      </c>
      <c r="N117" s="7">
        <f t="shared" si="8"/>
        <v>0.66353385766567641</v>
      </c>
      <c r="O117" s="7">
        <f t="shared" si="9"/>
        <v>0.15470710231880322</v>
      </c>
      <c r="P117" s="8">
        <f t="shared" si="10"/>
        <v>0.84529289768119675</v>
      </c>
      <c r="Q117" s="9">
        <f t="shared" si="11"/>
        <v>0.56948410041470088</v>
      </c>
    </row>
    <row r="118" spans="1:17" hidden="1" x14ac:dyDescent="0.3">
      <c r="A118" s="1" t="s">
        <v>39</v>
      </c>
      <c r="B118" s="1" t="s">
        <v>13</v>
      </c>
      <c r="C118" s="10">
        <v>0.166355851035798</v>
      </c>
      <c r="D118" s="10">
        <v>1.32277481930385</v>
      </c>
      <c r="E118" s="3">
        <v>337</v>
      </c>
      <c r="F118" s="10">
        <v>0.740735231661939</v>
      </c>
      <c r="G118" s="10">
        <v>0.17593954489313801</v>
      </c>
      <c r="H118" s="2">
        <v>1.56566371498402</v>
      </c>
      <c r="I118" s="2">
        <v>0.16849999999999901</v>
      </c>
      <c r="J118" s="2">
        <v>1.15069498621029</v>
      </c>
      <c r="K118" s="2">
        <v>0.16701254565681101</v>
      </c>
      <c r="L118" s="6">
        <f t="shared" si="6"/>
        <v>0.61644591991322295</v>
      </c>
      <c r="M118" s="7">
        <f t="shared" si="7"/>
        <v>0.26290288749521967</v>
      </c>
      <c r="N118" s="7">
        <f t="shared" si="8"/>
        <v>0.66860941034532784</v>
      </c>
      <c r="O118" s="7">
        <f t="shared" si="9"/>
        <v>0.14780137677196969</v>
      </c>
      <c r="P118" s="8">
        <f t="shared" si="10"/>
        <v>0.85219862322803031</v>
      </c>
      <c r="Q118" s="9">
        <f t="shared" si="11"/>
        <v>0.57318259798041493</v>
      </c>
    </row>
    <row r="119" spans="1:17" hidden="1" x14ac:dyDescent="0.3">
      <c r="A119" s="1" t="s">
        <v>39</v>
      </c>
      <c r="B119" s="1" t="s">
        <v>14</v>
      </c>
      <c r="C119" s="10">
        <v>9.8504408718683198E-2</v>
      </c>
      <c r="D119" s="10">
        <v>1.03509855712447</v>
      </c>
      <c r="E119" s="3">
        <v>319</v>
      </c>
      <c r="F119" s="10">
        <v>0.14823244109292399</v>
      </c>
      <c r="G119" s="10">
        <v>0.26265589656447802</v>
      </c>
      <c r="H119" s="2">
        <v>1.2144680631184701</v>
      </c>
      <c r="I119" s="2">
        <v>0.1595</v>
      </c>
      <c r="J119" s="2">
        <v>0.46490870070183998</v>
      </c>
      <c r="K119" s="2">
        <v>0.19930562199725299</v>
      </c>
      <c r="L119" s="6">
        <f t="shared" si="6"/>
        <v>0.38719273406170907</v>
      </c>
      <c r="M119" s="7">
        <f t="shared" si="7"/>
        <v>0.18703274158456221</v>
      </c>
      <c r="N119" s="7">
        <f t="shared" si="8"/>
        <v>0.46382514780243228</v>
      </c>
      <c r="O119" s="7">
        <f t="shared" si="9"/>
        <v>0.28542431771362203</v>
      </c>
      <c r="P119" s="8">
        <f t="shared" si="10"/>
        <v>0.71457568228637802</v>
      </c>
      <c r="Q119" s="9">
        <f t="shared" si="11"/>
        <v>0.41561105008571575</v>
      </c>
    </row>
    <row r="120" spans="1:17" x14ac:dyDescent="0.3">
      <c r="A120" s="1" t="s">
        <v>39</v>
      </c>
      <c r="B120" s="1" t="s">
        <v>15</v>
      </c>
      <c r="C120" s="10">
        <v>0.14165584317885099</v>
      </c>
      <c r="D120" s="10">
        <v>1.27998952847063</v>
      </c>
      <c r="E120" s="3">
        <v>217</v>
      </c>
      <c r="F120" s="10">
        <v>0.88651994016828495</v>
      </c>
      <c r="G120" s="10">
        <v>8.4608922988175406E-2</v>
      </c>
      <c r="H120" s="2">
        <v>1.4267180424816599</v>
      </c>
      <c r="I120" s="2">
        <v>0.1085</v>
      </c>
      <c r="J120" s="2">
        <v>1.2586344303030801</v>
      </c>
      <c r="K120" s="2">
        <v>8.1373530506827496E-2</v>
      </c>
      <c r="L120" s="6">
        <f t="shared" si="6"/>
        <v>0.53299072281810977</v>
      </c>
      <c r="M120" s="7">
        <f t="shared" si="7"/>
        <v>0.25161893158674709</v>
      </c>
      <c r="N120" s="7">
        <f t="shared" si="8"/>
        <v>0.718996369692527</v>
      </c>
      <c r="O120" s="7">
        <f t="shared" si="9"/>
        <v>2.8553712916077334E-3</v>
      </c>
      <c r="P120" s="8">
        <f t="shared" si="10"/>
        <v>0.99714462870839227</v>
      </c>
      <c r="Q120" s="9">
        <f t="shared" si="11"/>
        <v>0.5972116606890826</v>
      </c>
    </row>
    <row r="121" spans="1:17" x14ac:dyDescent="0.3">
      <c r="A121" s="1" t="s">
        <v>39</v>
      </c>
      <c r="B121" s="1" t="s">
        <v>16</v>
      </c>
      <c r="C121" s="10">
        <v>4.9917976385949102E-2</v>
      </c>
      <c r="D121" s="10">
        <v>1.5603903018745999</v>
      </c>
      <c r="E121" s="3">
        <v>349</v>
      </c>
      <c r="F121" s="10">
        <v>1.14020895339769</v>
      </c>
      <c r="G121" s="10">
        <v>0.147499068931429</v>
      </c>
      <c r="H121" s="2">
        <v>1.85803943926772</v>
      </c>
      <c r="I121" s="2">
        <v>0.17449999999999999</v>
      </c>
      <c r="J121" s="2">
        <v>1.5674117316593701</v>
      </c>
      <c r="K121" s="2">
        <v>0.14019441830855101</v>
      </c>
      <c r="L121" s="6">
        <f t="shared" si="6"/>
        <v>0.22303123622087825</v>
      </c>
      <c r="M121" s="7">
        <f t="shared" si="7"/>
        <v>0.32557028033708302</v>
      </c>
      <c r="N121" s="7">
        <f t="shared" si="8"/>
        <v>0.8066778427865634</v>
      </c>
      <c r="O121" s="7">
        <f t="shared" si="9"/>
        <v>0.10266499974281051</v>
      </c>
      <c r="P121" s="8">
        <f t="shared" si="10"/>
        <v>0.89733500025718949</v>
      </c>
      <c r="Q121" s="9">
        <f t="shared" si="11"/>
        <v>0.56374768423270749</v>
      </c>
    </row>
    <row r="122" spans="1:17" x14ac:dyDescent="0.3">
      <c r="A122" s="1" t="s">
        <v>40</v>
      </c>
      <c r="B122" s="1" t="s">
        <v>12</v>
      </c>
      <c r="C122" s="10">
        <v>2.7349616508763101E-2</v>
      </c>
      <c r="D122" s="10">
        <v>0.87193711502008897</v>
      </c>
      <c r="E122" s="3">
        <v>400</v>
      </c>
      <c r="F122" s="10">
        <v>-0.28708105656704902</v>
      </c>
      <c r="G122" s="10">
        <v>0.24902847863114</v>
      </c>
      <c r="H122" s="2">
        <v>1.06512334400868</v>
      </c>
      <c r="I122" s="2">
        <v>0.2</v>
      </c>
      <c r="J122" s="2">
        <v>0.22338298908089299</v>
      </c>
      <c r="K122" s="2">
        <v>0.17902974817744999</v>
      </c>
      <c r="L122" s="6">
        <f t="shared" si="6"/>
        <v>0.14677834866828279</v>
      </c>
      <c r="M122" s="7">
        <f t="shared" si="7"/>
        <v>0.14400144548223129</v>
      </c>
      <c r="N122" s="7">
        <f t="shared" si="8"/>
        <v>0.31336956343690636</v>
      </c>
      <c r="O122" s="7">
        <f t="shared" si="9"/>
        <v>0.26379696258070501</v>
      </c>
      <c r="P122" s="8">
        <f t="shared" si="10"/>
        <v>0.73620303741929494</v>
      </c>
      <c r="Q122" s="9">
        <f t="shared" si="11"/>
        <v>0.31380757989325681</v>
      </c>
    </row>
    <row r="123" spans="1:17" hidden="1" x14ac:dyDescent="0.3">
      <c r="A123" s="1" t="s">
        <v>40</v>
      </c>
      <c r="B123" s="1" t="s">
        <v>13</v>
      </c>
      <c r="C123" s="10">
        <v>2.7968731803445002E-2</v>
      </c>
      <c r="D123" s="10">
        <v>0.906383045091252</v>
      </c>
      <c r="E123" s="3">
        <v>396</v>
      </c>
      <c r="F123" s="10">
        <v>-0.16624492220797099</v>
      </c>
      <c r="G123" s="10">
        <v>0.25777542487316002</v>
      </c>
      <c r="H123" s="2">
        <v>1.10498994870709</v>
      </c>
      <c r="I123" s="2">
        <v>0.19800000000000001</v>
      </c>
      <c r="J123" s="2">
        <v>0.30411992365134599</v>
      </c>
      <c r="K123" s="2">
        <v>0.197871905011928</v>
      </c>
      <c r="L123" s="6">
        <f t="shared" si="6"/>
        <v>0.14887018561187895</v>
      </c>
      <c r="M123" s="7">
        <f t="shared" si="7"/>
        <v>0.15308602451815415</v>
      </c>
      <c r="N123" s="7">
        <f t="shared" si="8"/>
        <v>0.35513365139924935</v>
      </c>
      <c r="O123" s="7">
        <f t="shared" si="9"/>
        <v>0.27767877890351028</v>
      </c>
      <c r="P123" s="8">
        <f t="shared" si="10"/>
        <v>0.72232122109648977</v>
      </c>
      <c r="Q123" s="9">
        <f t="shared" si="11"/>
        <v>0.32670418411689484</v>
      </c>
    </row>
    <row r="124" spans="1:17" hidden="1" x14ac:dyDescent="0.3">
      <c r="A124" s="1" t="s">
        <v>40</v>
      </c>
      <c r="B124" s="1" t="s">
        <v>14</v>
      </c>
      <c r="C124" s="10">
        <v>8.4411611369669001E-2</v>
      </c>
      <c r="D124" s="10">
        <v>1.01829739643913</v>
      </c>
      <c r="E124" s="3">
        <v>338</v>
      </c>
      <c r="F124" s="10">
        <v>0.108003760218182</v>
      </c>
      <c r="G124" s="10">
        <v>0.209276894499905</v>
      </c>
      <c r="H124" s="2">
        <v>1.2059299110656501</v>
      </c>
      <c r="I124" s="2">
        <v>0.16900000000000001</v>
      </c>
      <c r="J124" s="2">
        <v>0.55675358706149503</v>
      </c>
      <c r="K124" s="2">
        <v>0.187617212965173</v>
      </c>
      <c r="L124" s="6">
        <f t="shared" si="6"/>
        <v>0.33957666903067379</v>
      </c>
      <c r="M124" s="7">
        <f t="shared" si="7"/>
        <v>0.18260169641243637</v>
      </c>
      <c r="N124" s="7">
        <f t="shared" si="8"/>
        <v>0.44992107700793715</v>
      </c>
      <c r="O124" s="7">
        <f t="shared" si="9"/>
        <v>0.20070932328558727</v>
      </c>
      <c r="P124" s="8">
        <f t="shared" si="10"/>
        <v>0.79929067671441278</v>
      </c>
      <c r="Q124" s="9">
        <f t="shared" si="11"/>
        <v>0.4175303011751294</v>
      </c>
    </row>
    <row r="125" spans="1:17" x14ac:dyDescent="0.3">
      <c r="A125" s="1" t="s">
        <v>40</v>
      </c>
      <c r="B125" s="1" t="s">
        <v>15</v>
      </c>
      <c r="C125" s="10">
        <v>9.5190896257882907E-2</v>
      </c>
      <c r="D125" s="10">
        <v>0.91459474375156102</v>
      </c>
      <c r="E125" s="3">
        <v>352</v>
      </c>
      <c r="F125" s="10">
        <v>-0.18709662950672101</v>
      </c>
      <c r="G125" s="10">
        <v>0.236189189829492</v>
      </c>
      <c r="H125" s="2">
        <v>1.0908125802244399</v>
      </c>
      <c r="I125" s="2">
        <v>0.17599999999999999</v>
      </c>
      <c r="J125" s="2">
        <v>0.29731227829121598</v>
      </c>
      <c r="K125" s="2">
        <v>0.18561278176922799</v>
      </c>
      <c r="L125" s="6">
        <f t="shared" si="6"/>
        <v>0.37599719772444323</v>
      </c>
      <c r="M125" s="7">
        <f t="shared" si="7"/>
        <v>0.15525173249423843</v>
      </c>
      <c r="N125" s="7">
        <f t="shared" si="8"/>
        <v>0.34792676297626984</v>
      </c>
      <c r="O125" s="7">
        <f t="shared" si="9"/>
        <v>0.24342040555972952</v>
      </c>
      <c r="P125" s="8">
        <f t="shared" si="10"/>
        <v>0.75657959444027045</v>
      </c>
      <c r="Q125" s="9">
        <f t="shared" si="11"/>
        <v>0.37746890707409519</v>
      </c>
    </row>
    <row r="126" spans="1:17" x14ac:dyDescent="0.3">
      <c r="A126" s="1" t="s">
        <v>40</v>
      </c>
      <c r="B126" s="1" t="s">
        <v>16</v>
      </c>
      <c r="C126" s="10">
        <v>4.3568871290375601E-2</v>
      </c>
      <c r="D126" s="10">
        <v>0.88483255129003502</v>
      </c>
      <c r="E126" s="3">
        <v>358</v>
      </c>
      <c r="F126" s="10">
        <v>-0.19897154044932999</v>
      </c>
      <c r="G126" s="10">
        <v>0.33480129901501599</v>
      </c>
      <c r="H126" s="2">
        <v>1.0585062282768001</v>
      </c>
      <c r="I126" s="2">
        <v>0.17899999999999999</v>
      </c>
      <c r="J126" s="2">
        <v>0.19758186252597101</v>
      </c>
      <c r="K126" s="2">
        <v>0.28458596405593201</v>
      </c>
      <c r="L126" s="6">
        <f t="shared" si="6"/>
        <v>0.20157918567103816</v>
      </c>
      <c r="M126" s="7">
        <f t="shared" si="7"/>
        <v>0.14740241650420713</v>
      </c>
      <c r="N126" s="7">
        <f t="shared" si="8"/>
        <v>0.34382248715031244</v>
      </c>
      <c r="O126" s="7">
        <f t="shared" si="9"/>
        <v>0.39992247485811405</v>
      </c>
      <c r="P126" s="8">
        <f t="shared" si="10"/>
        <v>0.60007752514188595</v>
      </c>
      <c r="Q126" s="9">
        <f t="shared" si="11"/>
        <v>0.30769881325894072</v>
      </c>
    </row>
    <row r="127" spans="1:17" x14ac:dyDescent="0.3">
      <c r="A127" s="1" t="s">
        <v>41</v>
      </c>
      <c r="B127" s="1" t="s">
        <v>12</v>
      </c>
      <c r="C127" s="10">
        <v>8.8893317925554202E-2</v>
      </c>
      <c r="D127" s="10">
        <v>0.78850684852433595</v>
      </c>
      <c r="E127" s="3">
        <v>473</v>
      </c>
      <c r="F127" s="10">
        <v>-0.30535433291783998</v>
      </c>
      <c r="G127" s="10">
        <v>0.33539761531482098</v>
      </c>
      <c r="H127" s="2">
        <v>0.99933691479947395</v>
      </c>
      <c r="I127" s="2">
        <v>0.23649999999999999</v>
      </c>
      <c r="J127" s="2">
        <v>9.2896588826241702E-2</v>
      </c>
      <c r="K127" s="2">
        <v>0.26896761630157701</v>
      </c>
      <c r="L127" s="6">
        <f t="shared" si="6"/>
        <v>0.35471924332093524</v>
      </c>
      <c r="M127" s="7">
        <f t="shared" si="7"/>
        <v>0.12199800854779685</v>
      </c>
      <c r="N127" s="7">
        <f t="shared" si="8"/>
        <v>0.30705384732332397</v>
      </c>
      <c r="O127" s="7">
        <f t="shared" si="9"/>
        <v>0.40086885695709401</v>
      </c>
      <c r="P127" s="8">
        <f t="shared" si="10"/>
        <v>0.59913114304290604</v>
      </c>
      <c r="Q127" s="9">
        <f t="shared" si="11"/>
        <v>0.31948563403410452</v>
      </c>
    </row>
    <row r="128" spans="1:17" hidden="1" x14ac:dyDescent="0.3">
      <c r="A128" s="1" t="s">
        <v>41</v>
      </c>
      <c r="B128" s="1" t="s">
        <v>13</v>
      </c>
      <c r="C128" s="10">
        <v>8.9125409329862099E-2</v>
      </c>
      <c r="D128" s="10">
        <v>0.78869859309978596</v>
      </c>
      <c r="E128" s="3">
        <v>473</v>
      </c>
      <c r="F128" s="10">
        <v>-0.304074176065316</v>
      </c>
      <c r="G128" s="10">
        <v>0.32281307998554998</v>
      </c>
      <c r="H128" s="2">
        <v>0.99958422387771295</v>
      </c>
      <c r="I128" s="2">
        <v>0.23649999999999999</v>
      </c>
      <c r="J128" s="2">
        <v>9.3477416431763896E-2</v>
      </c>
      <c r="K128" s="2">
        <v>0.25587058593009299</v>
      </c>
      <c r="L128" s="6">
        <f t="shared" si="6"/>
        <v>0.35550342258123252</v>
      </c>
      <c r="M128" s="7">
        <f t="shared" si="7"/>
        <v>0.12204857820136075</v>
      </c>
      <c r="N128" s="7">
        <f t="shared" si="8"/>
        <v>0.3074963025845584</v>
      </c>
      <c r="O128" s="7">
        <f t="shared" si="9"/>
        <v>0.38089660571476225</v>
      </c>
      <c r="P128" s="8">
        <f t="shared" si="10"/>
        <v>0.61910339428523775</v>
      </c>
      <c r="Q128" s="9">
        <f t="shared" si="11"/>
        <v>0.32378482760906979</v>
      </c>
    </row>
    <row r="129" spans="1:17" hidden="1" x14ac:dyDescent="0.3">
      <c r="A129" s="1" t="s">
        <v>41</v>
      </c>
      <c r="B129" s="1" t="s">
        <v>14</v>
      </c>
      <c r="C129" s="10">
        <v>0.17317937415333001</v>
      </c>
      <c r="D129" s="10">
        <v>1.43694651686187</v>
      </c>
      <c r="E129" s="3">
        <v>397</v>
      </c>
      <c r="F129" s="10">
        <v>0.72004832275222197</v>
      </c>
      <c r="G129" s="10">
        <v>0.15543460157886399</v>
      </c>
      <c r="H129" s="2">
        <v>1.75329443820632</v>
      </c>
      <c r="I129" s="2">
        <v>0.19850000000000001</v>
      </c>
      <c r="J129" s="2">
        <v>1.07048617071049</v>
      </c>
      <c r="K129" s="2">
        <v>0.12448118586300801</v>
      </c>
      <c r="L129" s="6">
        <f t="shared" si="6"/>
        <v>0.63950091122961383</v>
      </c>
      <c r="M129" s="7">
        <f t="shared" si="7"/>
        <v>0.29301389939092182</v>
      </c>
      <c r="N129" s="7">
        <f t="shared" si="8"/>
        <v>0.6614594805006091</v>
      </c>
      <c r="O129" s="7">
        <f t="shared" si="9"/>
        <v>0.11525906441261656</v>
      </c>
      <c r="P129" s="8">
        <f t="shared" si="10"/>
        <v>0.88474093558738343</v>
      </c>
      <c r="Q129" s="9">
        <f t="shared" si="11"/>
        <v>0.59119038333085872</v>
      </c>
    </row>
    <row r="130" spans="1:17" x14ac:dyDescent="0.3">
      <c r="A130" s="1" t="s">
        <v>41</v>
      </c>
      <c r="B130" s="1" t="s">
        <v>15</v>
      </c>
      <c r="C130" s="10">
        <v>0.17640690393397199</v>
      </c>
      <c r="D130" s="10">
        <v>1.23300991156552</v>
      </c>
      <c r="E130" s="3">
        <v>377</v>
      </c>
      <c r="F130" s="10">
        <v>0.43361904977392501</v>
      </c>
      <c r="G130" s="10">
        <v>0.212333384753324</v>
      </c>
      <c r="H130" s="2">
        <v>1.4896978210910401</v>
      </c>
      <c r="I130" s="2">
        <v>0.1885</v>
      </c>
      <c r="J130" s="2">
        <v>0.73856032515630099</v>
      </c>
      <c r="K130" s="2">
        <v>0.19226496501341001</v>
      </c>
      <c r="L130" s="6">
        <f t="shared" si="6"/>
        <v>0.65040593342773689</v>
      </c>
      <c r="M130" s="7">
        <f t="shared" si="7"/>
        <v>0.23922878732383623</v>
      </c>
      <c r="N130" s="7">
        <f t="shared" si="8"/>
        <v>0.56246212830041564</v>
      </c>
      <c r="O130" s="7">
        <f t="shared" si="9"/>
        <v>0.2055601175075269</v>
      </c>
      <c r="P130" s="8">
        <f t="shared" si="10"/>
        <v>0.7944398824924731</v>
      </c>
      <c r="Q130" s="9">
        <f t="shared" si="11"/>
        <v>0.5294764378713176</v>
      </c>
    </row>
    <row r="131" spans="1:17" x14ac:dyDescent="0.3">
      <c r="A131" s="1" t="s">
        <v>41</v>
      </c>
      <c r="B131" s="1" t="s">
        <v>16</v>
      </c>
      <c r="C131" s="10">
        <v>8.6294876763085102E-2</v>
      </c>
      <c r="D131" s="10">
        <v>0.65339583065304396</v>
      </c>
      <c r="E131" s="3">
        <v>465</v>
      </c>
      <c r="F131" s="10">
        <v>-0.59933166281184003</v>
      </c>
      <c r="G131" s="10">
        <v>0.43995726551949599</v>
      </c>
      <c r="H131" s="2">
        <v>0.82485646796588696</v>
      </c>
      <c r="I131" s="2">
        <v>0.23249999999999901</v>
      </c>
      <c r="J131" s="2">
        <v>-0.21945171869667399</v>
      </c>
      <c r="K131" s="2">
        <v>0.35149262287265598</v>
      </c>
      <c r="L131" s="6">
        <f t="shared" ref="L131:L156" si="12">(C131 - MIN($C:$C)) / (MAX($C:$C) - MIN($C:$C))</f>
        <v>0.34593975545154482</v>
      </c>
      <c r="M131" s="7">
        <f t="shared" ref="M131:M156" si="13">(D131 - MIN($D:$D)) / (MAX($D:$D) - MIN($D:$D))</f>
        <v>8.636457615273728E-2</v>
      </c>
      <c r="N131" s="7">
        <f t="shared" ref="N131:N156" si="14">(F131 - MIN($F:$F)) / (MAX($F:$F) - MIN($F:$F))</f>
        <v>0.20544769176605332</v>
      </c>
      <c r="O131" s="7">
        <f t="shared" ref="O131:O156" si="15">(G131 - MIN($G:$G)) / (MAX($G:$G) - MIN($G:$G))</f>
        <v>0.56680995442779958</v>
      </c>
      <c r="P131" s="8">
        <f t="shared" ref="P131:P156" si="16">1 - O131</f>
        <v>0.43319004557220042</v>
      </c>
      <c r="Q131" s="9">
        <f t="shared" ref="Q131:Q156" si="17">0.2*L131+0.3*M131+0.3*N131+0.2*P131</f>
        <v>0.24336964058038624</v>
      </c>
    </row>
    <row r="132" spans="1:17" x14ac:dyDescent="0.3">
      <c r="A132" s="1" t="s">
        <v>42</v>
      </c>
      <c r="B132" s="1" t="s">
        <v>12</v>
      </c>
      <c r="C132" s="10">
        <v>9.8009946906837994E-2</v>
      </c>
      <c r="D132" s="10">
        <v>0.50232701893959397</v>
      </c>
      <c r="E132" s="3">
        <v>311</v>
      </c>
      <c r="F132" s="10">
        <v>-1.05530916584889</v>
      </c>
      <c r="G132" s="10">
        <v>0.51883210121809498</v>
      </c>
      <c r="H132" s="2">
        <v>0.58711026247893905</v>
      </c>
      <c r="I132" s="2">
        <v>0.1555</v>
      </c>
      <c r="J132" s="2">
        <v>-0.79711211601457899</v>
      </c>
      <c r="K132" s="2">
        <v>0.44519813442640699</v>
      </c>
      <c r="L132" s="6">
        <f t="shared" si="12"/>
        <v>0.38552207030311669</v>
      </c>
      <c r="M132" s="7">
        <f t="shared" si="13"/>
        <v>4.6522523491116484E-2</v>
      </c>
      <c r="N132" s="7">
        <f t="shared" si="14"/>
        <v>4.7850093608046776E-2</v>
      </c>
      <c r="O132" s="7">
        <f t="shared" si="15"/>
        <v>0.69198803959761679</v>
      </c>
      <c r="P132" s="8">
        <f t="shared" si="16"/>
        <v>0.30801196040238321</v>
      </c>
      <c r="Q132" s="9">
        <f t="shared" si="17"/>
        <v>0.16701859127084895</v>
      </c>
    </row>
    <row r="133" spans="1:17" hidden="1" x14ac:dyDescent="0.3">
      <c r="A133" s="1" t="s">
        <v>42</v>
      </c>
      <c r="B133" s="1" t="s">
        <v>13</v>
      </c>
      <c r="C133" s="10">
        <v>9.8041258806855699E-2</v>
      </c>
      <c r="D133" s="10">
        <v>0.55489845297168805</v>
      </c>
      <c r="E133" s="3">
        <v>339</v>
      </c>
      <c r="F133" s="10">
        <v>-0.77702070357708197</v>
      </c>
      <c r="G133" s="10">
        <v>0.47041562100352802</v>
      </c>
      <c r="H133" s="2">
        <v>0.65769881482454495</v>
      </c>
      <c r="I133" s="2">
        <v>0.16949999999999901</v>
      </c>
      <c r="J133" s="2">
        <v>-0.52350238478744504</v>
      </c>
      <c r="K133" s="2">
        <v>0.38225207602723099</v>
      </c>
      <c r="L133" s="6">
        <f t="shared" si="12"/>
        <v>0.38562786544304273</v>
      </c>
      <c r="M133" s="7">
        <f t="shared" si="13"/>
        <v>6.0387422668165699E-2</v>
      </c>
      <c r="N133" s="7">
        <f t="shared" si="14"/>
        <v>0.14403377143646448</v>
      </c>
      <c r="O133" s="7">
        <f t="shared" si="15"/>
        <v>0.61514880145224349</v>
      </c>
      <c r="P133" s="8">
        <f t="shared" si="16"/>
        <v>0.38485119854775651</v>
      </c>
      <c r="Q133" s="9">
        <f t="shared" si="17"/>
        <v>0.21542217102954891</v>
      </c>
    </row>
    <row r="134" spans="1:17" hidden="1" x14ac:dyDescent="0.3">
      <c r="A134" s="1" t="s">
        <v>42</v>
      </c>
      <c r="B134" s="1" t="s">
        <v>14</v>
      </c>
      <c r="C134" s="10">
        <v>5.0390524858214603E-2</v>
      </c>
      <c r="D134" s="10">
        <v>0.65966263853200502</v>
      </c>
      <c r="E134" s="3">
        <v>235</v>
      </c>
      <c r="F134" s="10">
        <v>-0.316376484106272</v>
      </c>
      <c r="G134" s="10">
        <v>0.47968550322334003</v>
      </c>
      <c r="H134" s="2">
        <v>0.74229719691962304</v>
      </c>
      <c r="I134" s="2">
        <v>0.11749999999999999</v>
      </c>
      <c r="J134" s="2">
        <v>-0.18591141666753699</v>
      </c>
      <c r="K134" s="2">
        <v>0.46953077566583801</v>
      </c>
      <c r="L134" s="6">
        <f t="shared" si="12"/>
        <v>0.22462786024295606</v>
      </c>
      <c r="M134" s="7">
        <f t="shared" si="13"/>
        <v>8.8017349393632482E-2</v>
      </c>
      <c r="N134" s="7">
        <f t="shared" si="14"/>
        <v>0.30324430728623541</v>
      </c>
      <c r="O134" s="7">
        <f t="shared" si="15"/>
        <v>0.62986054184128137</v>
      </c>
      <c r="P134" s="8">
        <f t="shared" si="16"/>
        <v>0.37013945815871863</v>
      </c>
      <c r="Q134" s="9">
        <f t="shared" si="17"/>
        <v>0.23633196068429529</v>
      </c>
    </row>
    <row r="135" spans="1:17" x14ac:dyDescent="0.3">
      <c r="A135" s="1" t="s">
        <v>42</v>
      </c>
      <c r="B135" s="1" t="s">
        <v>15</v>
      </c>
      <c r="C135" s="10">
        <v>-1.6091972409952401E-2</v>
      </c>
      <c r="D135" s="10">
        <v>0.42254236320538102</v>
      </c>
      <c r="E135" s="3">
        <v>181</v>
      </c>
      <c r="F135" s="10">
        <v>-0.81441626827325297</v>
      </c>
      <c r="G135" s="10">
        <v>0.59973043637457402</v>
      </c>
      <c r="H135" s="2">
        <v>0.462900949441368</v>
      </c>
      <c r="I135" s="2">
        <v>9.0499999999999997E-2</v>
      </c>
      <c r="J135" s="2">
        <v>-0.71509379785972005</v>
      </c>
      <c r="K135" s="2">
        <v>0.56467860889004995</v>
      </c>
      <c r="L135" s="6">
        <f t="shared" si="12"/>
        <v>0</v>
      </c>
      <c r="M135" s="7">
        <f t="shared" si="13"/>
        <v>2.5480559770759872E-2</v>
      </c>
      <c r="N135" s="7">
        <f t="shared" si="14"/>
        <v>0.13110889874290962</v>
      </c>
      <c r="O135" s="7">
        <f t="shared" si="15"/>
        <v>0.8203775138655679</v>
      </c>
      <c r="P135" s="8">
        <f t="shared" si="16"/>
        <v>0.1796224861344321</v>
      </c>
      <c r="Q135" s="9">
        <f t="shared" si="17"/>
        <v>8.2901334780987268E-2</v>
      </c>
    </row>
    <row r="136" spans="1:17" x14ac:dyDescent="0.3">
      <c r="A136" s="1" t="s">
        <v>42</v>
      </c>
      <c r="B136" s="1" t="s">
        <v>16</v>
      </c>
      <c r="C136" s="10">
        <v>9.2738435444331496E-2</v>
      </c>
      <c r="D136" s="10">
        <v>0.42664722277522799</v>
      </c>
      <c r="E136" s="3">
        <v>335</v>
      </c>
      <c r="F136" s="10">
        <v>-1.19375395471941</v>
      </c>
      <c r="G136" s="10">
        <v>0.59806789668970095</v>
      </c>
      <c r="H136" s="2">
        <v>0.50472893626024795</v>
      </c>
      <c r="I136" s="2">
        <v>0.16749999999999901</v>
      </c>
      <c r="J136" s="2">
        <v>-0.94056917844479004</v>
      </c>
      <c r="K136" s="2">
        <v>0.52834209894089501</v>
      </c>
      <c r="L136" s="6">
        <f t="shared" si="12"/>
        <v>0.3677109412281559</v>
      </c>
      <c r="M136" s="7">
        <f t="shared" si="13"/>
        <v>2.656315272489403E-2</v>
      </c>
      <c r="N136" s="7">
        <f t="shared" si="14"/>
        <v>0</v>
      </c>
      <c r="O136" s="7">
        <f t="shared" si="15"/>
        <v>0.81773898495545394</v>
      </c>
      <c r="P136" s="8">
        <f t="shared" si="16"/>
        <v>0.18226101504454606</v>
      </c>
      <c r="Q136" s="9">
        <f t="shared" si="17"/>
        <v>0.11796333707200859</v>
      </c>
    </row>
    <row r="137" spans="1:17" x14ac:dyDescent="0.3">
      <c r="A137" s="1" t="s">
        <v>43</v>
      </c>
      <c r="B137" s="1" t="s">
        <v>12</v>
      </c>
      <c r="C137" s="10">
        <v>9.0465649254023506E-2</v>
      </c>
      <c r="D137" s="10">
        <v>1.1960843072173999</v>
      </c>
      <c r="E137" s="3">
        <v>337</v>
      </c>
      <c r="F137" s="10">
        <v>0.42107631969416798</v>
      </c>
      <c r="G137" s="10">
        <v>0.26696985252716499</v>
      </c>
      <c r="H137" s="2">
        <v>1.41605342755257</v>
      </c>
      <c r="I137" s="2">
        <v>0.16849999999999901</v>
      </c>
      <c r="J137" s="2">
        <v>0.740698837996006</v>
      </c>
      <c r="K137" s="2">
        <v>0.23393142785750801</v>
      </c>
      <c r="L137" s="6">
        <f t="shared" si="12"/>
        <v>0.36003176069648424</v>
      </c>
      <c r="M137" s="7">
        <f t="shared" si="13"/>
        <v>0.2294902327121103</v>
      </c>
      <c r="N137" s="7">
        <f t="shared" si="14"/>
        <v>0.55812703693790766</v>
      </c>
      <c r="O137" s="7">
        <f t="shared" si="15"/>
        <v>0.29227076933704721</v>
      </c>
      <c r="P137" s="8">
        <f t="shared" si="16"/>
        <v>0.70772923066295279</v>
      </c>
      <c r="Q137" s="9">
        <f t="shared" si="17"/>
        <v>0.44983737916689281</v>
      </c>
    </row>
    <row r="138" spans="1:17" hidden="1" x14ac:dyDescent="0.3">
      <c r="A138" s="1" t="s">
        <v>43</v>
      </c>
      <c r="B138" s="1" t="s">
        <v>13</v>
      </c>
      <c r="C138" s="10">
        <v>9.0497533084619095E-2</v>
      </c>
      <c r="D138" s="10">
        <v>1.1480296233923</v>
      </c>
      <c r="E138" s="3">
        <v>343</v>
      </c>
      <c r="F138" s="10">
        <v>0.34504231133033503</v>
      </c>
      <c r="G138" s="10">
        <v>0.28504518886623098</v>
      </c>
      <c r="H138" s="2">
        <v>1.3632237479149101</v>
      </c>
      <c r="I138" s="2">
        <v>0.17149999999999899</v>
      </c>
      <c r="J138" s="2">
        <v>0.67176558993876501</v>
      </c>
      <c r="K138" s="2">
        <v>0.23583492800061401</v>
      </c>
      <c r="L138" s="6">
        <f t="shared" si="12"/>
        <v>0.36013948824790498</v>
      </c>
      <c r="M138" s="7">
        <f t="shared" si="13"/>
        <v>0.21681655624718377</v>
      </c>
      <c r="N138" s="7">
        <f t="shared" si="14"/>
        <v>0.53184772048774454</v>
      </c>
      <c r="O138" s="7">
        <f t="shared" si="15"/>
        <v>0.32095718081016655</v>
      </c>
      <c r="P138" s="8">
        <f t="shared" si="16"/>
        <v>0.67904281918983345</v>
      </c>
      <c r="Q138" s="9">
        <f t="shared" si="17"/>
        <v>0.43243574450802613</v>
      </c>
    </row>
    <row r="139" spans="1:17" hidden="1" x14ac:dyDescent="0.3">
      <c r="A139" s="1" t="s">
        <v>43</v>
      </c>
      <c r="B139" s="1" t="s">
        <v>14</v>
      </c>
      <c r="C139" s="10">
        <v>9.8158233588757998E-2</v>
      </c>
      <c r="D139" s="10">
        <v>1.3224382813703299</v>
      </c>
      <c r="E139" s="3">
        <v>377</v>
      </c>
      <c r="F139" s="10">
        <v>0.61073885854217602</v>
      </c>
      <c r="G139" s="10">
        <v>0.23381546147993801</v>
      </c>
      <c r="H139" s="2">
        <v>1.59736733975928</v>
      </c>
      <c r="I139" s="2">
        <v>0.1885</v>
      </c>
      <c r="J139" s="2">
        <v>0.97083158153030102</v>
      </c>
      <c r="K139" s="2">
        <v>0.192361039818918</v>
      </c>
      <c r="L139" s="6">
        <f t="shared" si="12"/>
        <v>0.38602309420310438</v>
      </c>
      <c r="M139" s="7">
        <f t="shared" si="13"/>
        <v>0.26281413084242111</v>
      </c>
      <c r="N139" s="7">
        <f t="shared" si="14"/>
        <v>0.62367930735456234</v>
      </c>
      <c r="O139" s="7">
        <f t="shared" si="15"/>
        <v>0.23965318668847987</v>
      </c>
      <c r="P139" s="8">
        <f t="shared" si="16"/>
        <v>0.7603468133115201</v>
      </c>
      <c r="Q139" s="9">
        <f t="shared" si="17"/>
        <v>0.49522201296201995</v>
      </c>
    </row>
    <row r="140" spans="1:17" x14ac:dyDescent="0.3">
      <c r="A140" s="1" t="s">
        <v>43</v>
      </c>
      <c r="B140" s="1" t="s">
        <v>15</v>
      </c>
      <c r="C140" s="10">
        <v>7.7559151930938403E-2</v>
      </c>
      <c r="D140" s="10">
        <v>1.3479537212974499</v>
      </c>
      <c r="E140" s="3">
        <v>145</v>
      </c>
      <c r="F140" s="10">
        <v>0.55153653517723999</v>
      </c>
      <c r="G140" s="10">
        <v>0.21278026805152001</v>
      </c>
      <c r="H140" s="2">
        <v>1.4499129959616299</v>
      </c>
      <c r="I140" s="2">
        <v>7.2499999999999995E-2</v>
      </c>
      <c r="J140" s="2">
        <v>0.66159612662781997</v>
      </c>
      <c r="K140" s="2">
        <v>0.205616796314391</v>
      </c>
      <c r="L140" s="6">
        <f t="shared" si="12"/>
        <v>0.31642390906567286</v>
      </c>
      <c r="M140" s="7">
        <f t="shared" si="13"/>
        <v>0.2695434318128227</v>
      </c>
      <c r="N140" s="7">
        <f t="shared" si="14"/>
        <v>0.60321745582560782</v>
      </c>
      <c r="O140" s="7">
        <f t="shared" si="15"/>
        <v>0.20626934238345954</v>
      </c>
      <c r="P140" s="8">
        <f t="shared" si="16"/>
        <v>0.79373065761654049</v>
      </c>
      <c r="Q140" s="9">
        <f t="shared" si="17"/>
        <v>0.48385917962797176</v>
      </c>
    </row>
    <row r="141" spans="1:17" x14ac:dyDescent="0.3">
      <c r="A141" s="1" t="s">
        <v>43</v>
      </c>
      <c r="B141" s="1" t="s">
        <v>16</v>
      </c>
      <c r="C141" s="10">
        <v>7.5443872723027994E-2</v>
      </c>
      <c r="D141" s="10">
        <v>1.4104508597754499</v>
      </c>
      <c r="E141" s="3">
        <v>379</v>
      </c>
      <c r="F141" s="10">
        <v>0.72172293865767401</v>
      </c>
      <c r="G141" s="10">
        <v>0.287392920454829</v>
      </c>
      <c r="H141" s="2">
        <v>1.7051160067532201</v>
      </c>
      <c r="I141" s="2">
        <v>0.1895</v>
      </c>
      <c r="J141" s="2">
        <v>1.0756343132486601</v>
      </c>
      <c r="K141" s="2">
        <v>0.25109045215273701</v>
      </c>
      <c r="L141" s="6">
        <f t="shared" si="12"/>
        <v>0.30927690554123033</v>
      </c>
      <c r="M141" s="7">
        <f t="shared" si="13"/>
        <v>0.28602608136966301</v>
      </c>
      <c r="N141" s="7">
        <f t="shared" si="14"/>
        <v>0.66203827099526869</v>
      </c>
      <c r="O141" s="7">
        <f t="shared" si="15"/>
        <v>0.32468314159538331</v>
      </c>
      <c r="P141" s="8">
        <f t="shared" si="16"/>
        <v>0.67531685840461675</v>
      </c>
      <c r="Q141" s="9">
        <f t="shared" si="17"/>
        <v>0.48133805849864891</v>
      </c>
    </row>
    <row r="142" spans="1:17" x14ac:dyDescent="0.3">
      <c r="A142" s="1" t="s">
        <v>44</v>
      </c>
      <c r="B142" s="1" t="s">
        <v>12</v>
      </c>
      <c r="C142" s="10">
        <v>7.9253542937640198E-2</v>
      </c>
      <c r="D142" s="10">
        <v>1.32431866944031</v>
      </c>
      <c r="E142" s="3">
        <v>403</v>
      </c>
      <c r="F142" s="10">
        <v>0.53718826712807199</v>
      </c>
      <c r="G142" s="10">
        <v>0.28090916402500499</v>
      </c>
      <c r="H142" s="2">
        <v>1.62063919978894</v>
      </c>
      <c r="I142" s="2">
        <v>0.20150000000000001</v>
      </c>
      <c r="J142" s="2">
        <v>0.85284730234494399</v>
      </c>
      <c r="K142" s="2">
        <v>0.246237484177697</v>
      </c>
      <c r="L142" s="6">
        <f t="shared" si="12"/>
        <v>0.322148835804136</v>
      </c>
      <c r="M142" s="7">
        <f t="shared" si="13"/>
        <v>0.26331005398935453</v>
      </c>
      <c r="N142" s="7">
        <f t="shared" si="14"/>
        <v>0.59825832392279454</v>
      </c>
      <c r="O142" s="7">
        <f t="shared" si="15"/>
        <v>0.31439311427039102</v>
      </c>
      <c r="P142" s="8">
        <f t="shared" si="16"/>
        <v>0.68560688572960893</v>
      </c>
      <c r="Q142" s="9">
        <f t="shared" si="17"/>
        <v>0.46002165768039371</v>
      </c>
    </row>
    <row r="143" spans="1:17" hidden="1" x14ac:dyDescent="0.3">
      <c r="A143" s="1" t="s">
        <v>44</v>
      </c>
      <c r="B143" s="1" t="s">
        <v>13</v>
      </c>
      <c r="C143" s="10">
        <v>7.9546043947576098E-2</v>
      </c>
      <c r="D143" s="10">
        <v>1.2550207935786899</v>
      </c>
      <c r="E143" s="3">
        <v>409</v>
      </c>
      <c r="F143" s="10">
        <v>0.45774957683718698</v>
      </c>
      <c r="G143" s="10">
        <v>0.27627053685640302</v>
      </c>
      <c r="H143" s="2">
        <v>1.5404364539550901</v>
      </c>
      <c r="I143" s="2">
        <v>0.20449999999999999</v>
      </c>
      <c r="J143" s="2">
        <v>0.78263292535643003</v>
      </c>
      <c r="K143" s="2">
        <v>0.23672508665960701</v>
      </c>
      <c r="L143" s="6">
        <f t="shared" si="12"/>
        <v>0.32313712413084822</v>
      </c>
      <c r="M143" s="7">
        <f t="shared" si="13"/>
        <v>0.24503381557785381</v>
      </c>
      <c r="N143" s="7">
        <f t="shared" si="14"/>
        <v>0.57080226149147761</v>
      </c>
      <c r="O143" s="7">
        <f t="shared" si="15"/>
        <v>0.307031394126832</v>
      </c>
      <c r="P143" s="8">
        <f t="shared" si="16"/>
        <v>0.692968605873168</v>
      </c>
      <c r="Q143" s="9">
        <f t="shared" si="17"/>
        <v>0.44797196912160264</v>
      </c>
    </row>
    <row r="144" spans="1:17" hidden="1" x14ac:dyDescent="0.3">
      <c r="A144" s="1" t="s">
        <v>44</v>
      </c>
      <c r="B144" s="1" t="s">
        <v>14</v>
      </c>
      <c r="C144" s="10">
        <v>0.19042969580191799</v>
      </c>
      <c r="D144" s="10">
        <v>1.11891162642154</v>
      </c>
      <c r="E144" s="3">
        <v>391</v>
      </c>
      <c r="F144" s="10">
        <v>0.279427260357832</v>
      </c>
      <c r="G144" s="10">
        <v>0.17865926675615201</v>
      </c>
      <c r="H144" s="2">
        <v>1.3610854750571999</v>
      </c>
      <c r="I144" s="2">
        <v>0.19550000000000001</v>
      </c>
      <c r="J144" s="2">
        <v>0.59882173155431095</v>
      </c>
      <c r="K144" s="2">
        <v>0.16141998972615501</v>
      </c>
      <c r="L144" s="6">
        <f t="shared" si="12"/>
        <v>0.69778546731051827</v>
      </c>
      <c r="M144" s="7">
        <f t="shared" si="13"/>
        <v>0.20913713681208243</v>
      </c>
      <c r="N144" s="7">
        <f t="shared" si="14"/>
        <v>0.50916946472423286</v>
      </c>
      <c r="O144" s="7">
        <f t="shared" si="15"/>
        <v>0.15211770367130584</v>
      </c>
      <c r="P144" s="8">
        <f t="shared" si="16"/>
        <v>0.84788229632869416</v>
      </c>
      <c r="Q144" s="9">
        <f t="shared" si="17"/>
        <v>0.52462553318873706</v>
      </c>
    </row>
    <row r="145" spans="1:17" x14ac:dyDescent="0.3">
      <c r="A145" s="1" t="s">
        <v>44</v>
      </c>
      <c r="B145" s="1" t="s">
        <v>15</v>
      </c>
      <c r="C145" s="10">
        <v>0.12787391108148</v>
      </c>
      <c r="D145" s="10">
        <v>1.20153073868231</v>
      </c>
      <c r="E145" s="3">
        <v>359</v>
      </c>
      <c r="F145" s="10">
        <v>0.41693424744534102</v>
      </c>
      <c r="G145" s="10">
        <v>0.163269573895194</v>
      </c>
      <c r="H145" s="2">
        <v>1.4382341135322401</v>
      </c>
      <c r="I145" s="2">
        <v>0.17949999999999999</v>
      </c>
      <c r="J145" s="2">
        <v>0.74163943232159502</v>
      </c>
      <c r="K145" s="2">
        <v>0.14191991329645601</v>
      </c>
      <c r="L145" s="6">
        <f t="shared" si="12"/>
        <v>0.48642499432932013</v>
      </c>
      <c r="M145" s="7">
        <f t="shared" si="13"/>
        <v>0.23092664441603275</v>
      </c>
      <c r="N145" s="7">
        <f t="shared" si="14"/>
        <v>0.55669542982250353</v>
      </c>
      <c r="O145" s="7">
        <f t="shared" si="15"/>
        <v>0.12769353509303077</v>
      </c>
      <c r="P145" s="8">
        <f t="shared" si="16"/>
        <v>0.87230646490696917</v>
      </c>
      <c r="Q145" s="9">
        <f t="shared" si="17"/>
        <v>0.50803291411881868</v>
      </c>
    </row>
    <row r="146" spans="1:17" x14ac:dyDescent="0.3">
      <c r="A146" s="1" t="s">
        <v>44</v>
      </c>
      <c r="B146" s="1" t="s">
        <v>16</v>
      </c>
      <c r="C146" s="10">
        <v>8.5839447847029002E-2</v>
      </c>
      <c r="D146" s="10">
        <v>1.66400667789245</v>
      </c>
      <c r="E146" s="3">
        <v>431</v>
      </c>
      <c r="F146" s="10">
        <v>0.90034417980319204</v>
      </c>
      <c r="G146" s="10">
        <v>0.25174787729526299</v>
      </c>
      <c r="H146" s="2">
        <v>2.0647551823246899</v>
      </c>
      <c r="I146" s="2">
        <v>0.2155</v>
      </c>
      <c r="J146" s="2">
        <v>1.24297044009712</v>
      </c>
      <c r="K146" s="2">
        <v>0.219822574389617</v>
      </c>
      <c r="L146" s="6">
        <f t="shared" si="12"/>
        <v>0.34440097416157917</v>
      </c>
      <c r="M146" s="7">
        <f t="shared" si="13"/>
        <v>0.35289749012370725</v>
      </c>
      <c r="N146" s="7">
        <f t="shared" si="14"/>
        <v>0.72377438384522308</v>
      </c>
      <c r="O146" s="7">
        <f t="shared" si="15"/>
        <v>0.26811277654815419</v>
      </c>
      <c r="P146" s="8">
        <f t="shared" si="16"/>
        <v>0.73188722345184587</v>
      </c>
      <c r="Q146" s="9">
        <f t="shared" si="17"/>
        <v>0.53825920171336405</v>
      </c>
    </row>
    <row r="147" spans="1:17" x14ac:dyDescent="0.3">
      <c r="A147" s="1" t="s">
        <v>45</v>
      </c>
      <c r="B147" s="1" t="s">
        <v>12</v>
      </c>
      <c r="C147" s="10">
        <v>5.4111720089483797E-2</v>
      </c>
      <c r="D147" s="10">
        <v>0.47281744226733902</v>
      </c>
      <c r="E147" s="3">
        <v>291</v>
      </c>
      <c r="F147" s="10">
        <v>-0.78818545260601303</v>
      </c>
      <c r="G147" s="10">
        <v>0.58199486730086103</v>
      </c>
      <c r="H147" s="2">
        <v>0.54715566541906702</v>
      </c>
      <c r="I147" s="2">
        <v>0.14549999999999999</v>
      </c>
      <c r="J147" s="2">
        <v>-0.61092904730509401</v>
      </c>
      <c r="K147" s="2">
        <v>0.54314465056858696</v>
      </c>
      <c r="L147" s="6">
        <f t="shared" si="12"/>
        <v>0.23720085549273781</v>
      </c>
      <c r="M147" s="7">
        <f t="shared" si="13"/>
        <v>3.8739830991831786E-2</v>
      </c>
      <c r="N147" s="7">
        <f t="shared" si="14"/>
        <v>0.14017494590389537</v>
      </c>
      <c r="O147" s="7">
        <f t="shared" si="15"/>
        <v>0.79223032907106627</v>
      </c>
      <c r="P147" s="8">
        <f t="shared" si="16"/>
        <v>0.20776967092893373</v>
      </c>
      <c r="Q147" s="9">
        <f t="shared" si="17"/>
        <v>0.14266853835305243</v>
      </c>
    </row>
    <row r="148" spans="1:17" hidden="1" x14ac:dyDescent="0.3">
      <c r="A148" s="1" t="s">
        <v>45</v>
      </c>
      <c r="B148" s="1" t="s">
        <v>13</v>
      </c>
      <c r="C148" s="10">
        <v>4.7617762246279401E-2</v>
      </c>
      <c r="D148" s="10">
        <v>0.40723571790810797</v>
      </c>
      <c r="E148" s="3">
        <v>277</v>
      </c>
      <c r="F148" s="10">
        <v>-0.82521991744867695</v>
      </c>
      <c r="G148" s="10">
        <v>0.65408169307242803</v>
      </c>
      <c r="H148" s="2">
        <v>0.46801479847265798</v>
      </c>
      <c r="I148" s="2">
        <v>0.13850000000000001</v>
      </c>
      <c r="J148" s="2">
        <v>-0.67641470982129803</v>
      </c>
      <c r="K148" s="2">
        <v>0.61521511568847598</v>
      </c>
      <c r="L148" s="6">
        <f t="shared" si="12"/>
        <v>0.21525938345472176</v>
      </c>
      <c r="M148" s="7">
        <f t="shared" si="13"/>
        <v>2.1443669819156401E-2</v>
      </c>
      <c r="N148" s="7">
        <f t="shared" si="14"/>
        <v>0.12737487864312808</v>
      </c>
      <c r="O148" s="7">
        <f t="shared" si="15"/>
        <v>0.90663552226267963</v>
      </c>
      <c r="P148" s="8">
        <f t="shared" si="16"/>
        <v>9.3364477737320373E-2</v>
      </c>
      <c r="Q148" s="9">
        <f t="shared" si="17"/>
        <v>0.10637033677709376</v>
      </c>
    </row>
    <row r="149" spans="1:17" hidden="1" x14ac:dyDescent="0.3">
      <c r="A149" s="1" t="s">
        <v>45</v>
      </c>
      <c r="B149" s="1" t="s">
        <v>14</v>
      </c>
      <c r="C149" s="10">
        <v>6.2293093644891599E-2</v>
      </c>
      <c r="D149" s="10">
        <v>0.409630056905401</v>
      </c>
      <c r="E149" s="3">
        <v>217</v>
      </c>
      <c r="F149" s="10">
        <v>-0.61946327609399598</v>
      </c>
      <c r="G149" s="10">
        <v>0.65481012402646499</v>
      </c>
      <c r="H149" s="2">
        <v>0.45691727845070301</v>
      </c>
      <c r="I149" s="2">
        <v>0.1085</v>
      </c>
      <c r="J149" s="2">
        <v>-0.52340946417517498</v>
      </c>
      <c r="K149" s="2">
        <v>0.62193026059583401</v>
      </c>
      <c r="L149" s="6">
        <f t="shared" si="12"/>
        <v>0.26484368648006767</v>
      </c>
      <c r="M149" s="7">
        <f t="shared" si="13"/>
        <v>2.207513954039091E-2</v>
      </c>
      <c r="N149" s="7">
        <f t="shared" si="14"/>
        <v>0.19848968642767195</v>
      </c>
      <c r="O149" s="7">
        <f t="shared" si="15"/>
        <v>0.90779157655042753</v>
      </c>
      <c r="P149" s="8">
        <f t="shared" si="16"/>
        <v>9.2208423449572474E-2</v>
      </c>
      <c r="Q149" s="9">
        <f t="shared" si="17"/>
        <v>0.1375798697763469</v>
      </c>
    </row>
    <row r="150" spans="1:17" x14ac:dyDescent="0.3">
      <c r="A150" s="1" t="s">
        <v>45</v>
      </c>
      <c r="B150" s="1" t="s">
        <v>15</v>
      </c>
      <c r="C150" s="10">
        <v>7.07615193071892E-2</v>
      </c>
      <c r="D150" s="10">
        <v>0.49378365601964502</v>
      </c>
      <c r="E150" s="3">
        <v>365</v>
      </c>
      <c r="F150" s="10">
        <v>-0.59661790718725005</v>
      </c>
      <c r="G150" s="10">
        <v>0.58089095590496098</v>
      </c>
      <c r="H150" s="2">
        <v>0.59326656631817498</v>
      </c>
      <c r="I150" s="2">
        <v>0.1825</v>
      </c>
      <c r="J150" s="2">
        <v>-0.40487592639450298</v>
      </c>
      <c r="K150" s="2">
        <v>0.50171775450947298</v>
      </c>
      <c r="L150" s="6">
        <f t="shared" si="12"/>
        <v>0.29345639530289458</v>
      </c>
      <c r="M150" s="7">
        <f t="shared" si="13"/>
        <v>4.426934421802077E-2</v>
      </c>
      <c r="N150" s="7">
        <f t="shared" si="14"/>
        <v>0.20638563577770866</v>
      </c>
      <c r="O150" s="7">
        <f t="shared" si="15"/>
        <v>0.79047836960881201</v>
      </c>
      <c r="P150" s="8">
        <f t="shared" si="16"/>
        <v>0.20952163039118799</v>
      </c>
      <c r="Q150" s="9">
        <f t="shared" si="17"/>
        <v>0.17579209913753535</v>
      </c>
    </row>
    <row r="151" spans="1:17" x14ac:dyDescent="0.3">
      <c r="A151" s="1" t="s">
        <v>45</v>
      </c>
      <c r="B151" s="1" t="s">
        <v>16</v>
      </c>
      <c r="C151" s="10">
        <v>4.6008774456765197E-2</v>
      </c>
      <c r="D151" s="10">
        <v>0.32592791617739902</v>
      </c>
      <c r="E151" s="3">
        <v>293</v>
      </c>
      <c r="F151" s="10">
        <v>-1.04795794649302</v>
      </c>
      <c r="G151" s="10">
        <v>0.71291074315436898</v>
      </c>
      <c r="H151" s="2">
        <v>0.37760795631522698</v>
      </c>
      <c r="I151" s="2">
        <v>0.14649999999999999</v>
      </c>
      <c r="J151" s="2">
        <v>-0.89297917589670295</v>
      </c>
      <c r="K151" s="2">
        <v>0.66938143551542795</v>
      </c>
      <c r="L151" s="6">
        <f t="shared" si="12"/>
        <v>0.20982301299382036</v>
      </c>
      <c r="M151" s="7">
        <f t="shared" si="13"/>
        <v>0</v>
      </c>
      <c r="N151" s="7">
        <f t="shared" si="14"/>
        <v>5.0390864822199476E-2</v>
      </c>
      <c r="O151" s="7">
        <f t="shared" si="15"/>
        <v>1</v>
      </c>
      <c r="P151" s="8">
        <f t="shared" si="16"/>
        <v>0</v>
      </c>
      <c r="Q151" s="9">
        <f t="shared" si="17"/>
        <v>5.7081862045423919E-2</v>
      </c>
    </row>
    <row r="152" spans="1:17" x14ac:dyDescent="0.3">
      <c r="A152" s="1" t="s">
        <v>46</v>
      </c>
      <c r="B152" s="1" t="s">
        <v>12</v>
      </c>
      <c r="C152" s="10">
        <v>9.5541349239110993E-3</v>
      </c>
      <c r="D152" s="10">
        <v>1.0434748902251201</v>
      </c>
      <c r="E152" s="3">
        <v>317</v>
      </c>
      <c r="F152" s="10">
        <v>0.17350510254531201</v>
      </c>
      <c r="G152" s="10">
        <v>0.157926707826438</v>
      </c>
      <c r="H152" s="2">
        <v>1.2229753427038099</v>
      </c>
      <c r="I152" s="2">
        <v>0.158499999999999</v>
      </c>
      <c r="J152" s="2">
        <v>0.60395553625904796</v>
      </c>
      <c r="K152" s="2">
        <v>0.129850568247907</v>
      </c>
      <c r="L152" s="6">
        <f t="shared" si="12"/>
        <v>8.6651832447415131E-2</v>
      </c>
      <c r="M152" s="7">
        <f t="shared" si="13"/>
        <v>0.18924186933715487</v>
      </c>
      <c r="N152" s="7">
        <f t="shared" si="14"/>
        <v>0.47256003212770825</v>
      </c>
      <c r="O152" s="7">
        <f t="shared" si="15"/>
        <v>0.11921415459249499</v>
      </c>
      <c r="P152" s="8">
        <f t="shared" si="16"/>
        <v>0.88078584540750504</v>
      </c>
      <c r="Q152" s="9">
        <f t="shared" si="17"/>
        <v>0.39202810601044297</v>
      </c>
    </row>
    <row r="153" spans="1:17" hidden="1" x14ac:dyDescent="0.3">
      <c r="A153" s="1" t="s">
        <v>46</v>
      </c>
      <c r="B153" s="1" t="s">
        <v>13</v>
      </c>
      <c r="C153" s="10">
        <v>1.01624518050197E-2</v>
      </c>
      <c r="D153" s="10">
        <v>1.04269198497678</v>
      </c>
      <c r="E153" s="3">
        <v>319</v>
      </c>
      <c r="F153" s="10">
        <v>0.1714820582761</v>
      </c>
      <c r="G153" s="10">
        <v>0.15855850415053399</v>
      </c>
      <c r="H153" s="2">
        <v>1.2232811946295401</v>
      </c>
      <c r="I153" s="2">
        <v>0.159499999999999</v>
      </c>
      <c r="J153" s="2">
        <v>0.60463440345566699</v>
      </c>
      <c r="K153" s="2">
        <v>0.129850568247907</v>
      </c>
      <c r="L153" s="6">
        <f t="shared" si="12"/>
        <v>8.870718423123751E-2</v>
      </c>
      <c r="M153" s="7">
        <f t="shared" si="13"/>
        <v>0.18903539023812949</v>
      </c>
      <c r="N153" s="7">
        <f t="shared" si="14"/>
        <v>0.47186081579428923</v>
      </c>
      <c r="O153" s="7">
        <f t="shared" si="15"/>
        <v>0.120216845163793</v>
      </c>
      <c r="P153" s="8">
        <f t="shared" si="16"/>
        <v>0.87978315483620695</v>
      </c>
      <c r="Q153" s="9">
        <f t="shared" si="17"/>
        <v>0.3919669296232145</v>
      </c>
    </row>
    <row r="154" spans="1:17" hidden="1" x14ac:dyDescent="0.3">
      <c r="A154" s="1" t="s">
        <v>46</v>
      </c>
      <c r="B154" s="1" t="s">
        <v>14</v>
      </c>
      <c r="C154" s="10">
        <v>0.130845546072479</v>
      </c>
      <c r="D154" s="10">
        <v>1.1198057312324201</v>
      </c>
      <c r="E154" s="3">
        <v>345</v>
      </c>
      <c r="F154" s="10">
        <v>0.33814856096873303</v>
      </c>
      <c r="G154" s="10">
        <v>0.17273297977490901</v>
      </c>
      <c r="H154" s="2">
        <v>1.3310038771592601</v>
      </c>
      <c r="I154" s="2">
        <v>0.17249999999999999</v>
      </c>
      <c r="J154" s="2">
        <v>0.75699134074008201</v>
      </c>
      <c r="K154" s="2">
        <v>0.162687059296512</v>
      </c>
      <c r="L154" s="6">
        <f t="shared" si="12"/>
        <v>0.49646541153505014</v>
      </c>
      <c r="M154" s="7">
        <f t="shared" si="13"/>
        <v>0.20937294306855622</v>
      </c>
      <c r="N154" s="7">
        <f t="shared" si="14"/>
        <v>0.52946506236962876</v>
      </c>
      <c r="O154" s="7">
        <f t="shared" si="15"/>
        <v>0.14271240665980292</v>
      </c>
      <c r="P154" s="8">
        <f t="shared" si="16"/>
        <v>0.85728759334019711</v>
      </c>
      <c r="Q154" s="9">
        <f t="shared" si="17"/>
        <v>0.49240200260650496</v>
      </c>
    </row>
    <row r="155" spans="1:17" x14ac:dyDescent="0.3">
      <c r="A155" s="1" t="s">
        <v>46</v>
      </c>
      <c r="B155" s="1" t="s">
        <v>15</v>
      </c>
      <c r="C155" s="10">
        <v>3.2872063880269697E-2</v>
      </c>
      <c r="D155" s="10">
        <v>1.01322768218987</v>
      </c>
      <c r="E155" s="3">
        <v>148</v>
      </c>
      <c r="F155" s="10">
        <v>9.7989235097594496E-2</v>
      </c>
      <c r="G155" s="10">
        <v>0.10146121936345701</v>
      </c>
      <c r="H155" s="2">
        <v>1.0910666166219101</v>
      </c>
      <c r="I155" s="2">
        <v>7.3999999999999996E-2</v>
      </c>
      <c r="J155" s="2">
        <v>0.47622473819148903</v>
      </c>
      <c r="K155" s="2">
        <v>7.0053877866249795E-2</v>
      </c>
      <c r="L155" s="6">
        <f t="shared" si="12"/>
        <v>0.16543732790852014</v>
      </c>
      <c r="M155" s="7">
        <f t="shared" si="13"/>
        <v>0.18126463802290246</v>
      </c>
      <c r="N155" s="7">
        <f t="shared" si="14"/>
        <v>0.44645979855629092</v>
      </c>
      <c r="O155" s="7">
        <f t="shared" si="15"/>
        <v>2.9600760645356612E-2</v>
      </c>
      <c r="P155" s="8">
        <f t="shared" si="16"/>
        <v>0.97039923935464334</v>
      </c>
      <c r="Q155" s="9">
        <f t="shared" si="17"/>
        <v>0.41548464442639071</v>
      </c>
    </row>
    <row r="156" spans="1:17" x14ac:dyDescent="0.3">
      <c r="A156" s="1" t="s">
        <v>46</v>
      </c>
      <c r="B156" s="1" t="s">
        <v>16</v>
      </c>
      <c r="C156" s="10">
        <v>0.108897390750025</v>
      </c>
      <c r="D156" s="10">
        <v>0.92377313013005602</v>
      </c>
      <c r="E156" s="3">
        <v>331</v>
      </c>
      <c r="F156" s="10">
        <v>-0.13888745151910101</v>
      </c>
      <c r="G156" s="10">
        <v>0.223108579329162</v>
      </c>
      <c r="H156" s="2">
        <v>1.09036791667614</v>
      </c>
      <c r="I156" s="2">
        <v>0.16549999999999901</v>
      </c>
      <c r="J156" s="2">
        <v>0.28337478204342498</v>
      </c>
      <c r="K156" s="2">
        <v>0.18966032460780799</v>
      </c>
      <c r="L156" s="6">
        <f t="shared" si="12"/>
        <v>0.42230804126545374</v>
      </c>
      <c r="M156" s="7">
        <f t="shared" si="13"/>
        <v>0.15767238934122774</v>
      </c>
      <c r="N156" s="7">
        <f t="shared" si="14"/>
        <v>0.364589099625373</v>
      </c>
      <c r="O156" s="7">
        <f t="shared" si="15"/>
        <v>0.22266085961860757</v>
      </c>
      <c r="P156" s="8">
        <f t="shared" si="16"/>
        <v>0.7773391403813924</v>
      </c>
      <c r="Q156" s="9">
        <f t="shared" si="17"/>
        <v>0.39660788301934946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D6DDC-E96B-4C81-8B13-F802E15E8FF9}">
  <dimension ref="A3:E34"/>
  <sheetViews>
    <sheetView workbookViewId="0">
      <selection activeCell="I14" sqref="I14"/>
    </sheetView>
  </sheetViews>
  <sheetFormatPr baseColWidth="10" defaultRowHeight="14.4" x14ac:dyDescent="0.3"/>
  <cols>
    <col min="1" max="1" width="17.33203125" bestFit="1" customWidth="1"/>
    <col min="2" max="2" width="17.44140625" bestFit="1" customWidth="1"/>
    <col min="5" max="5" width="14.21875" customWidth="1"/>
  </cols>
  <sheetData>
    <row r="3" spans="1:5" x14ac:dyDescent="0.3">
      <c r="A3" s="13" t="s">
        <v>53</v>
      </c>
      <c r="B3" t="s">
        <v>55</v>
      </c>
      <c r="D3" s="16" t="s">
        <v>9</v>
      </c>
      <c r="E3" s="16" t="s">
        <v>56</v>
      </c>
    </row>
    <row r="4" spans="1:5" x14ac:dyDescent="0.3">
      <c r="A4" s="15" t="s">
        <v>15</v>
      </c>
      <c r="B4" s="7">
        <v>0.48147474505493792</v>
      </c>
      <c r="D4" s="6" t="s">
        <v>23</v>
      </c>
      <c r="E4" s="7">
        <f>(AVERAGEIFS(Tabla1[score],Tabla1[ticker],D4,Tabla1[modelo],"DecisionTree")+
 AVERAGEIFS(Tabla1[score],Tabla1[ticker],D4,Tabla1[modelo],"LinearRegression")+
 AVERAGEIFS(Tabla1[score],Tabla1[ticker],D4,Tabla1[modelo],"SVR"))/3</f>
        <v>0.66057584478430298</v>
      </c>
    </row>
    <row r="5" spans="1:5" x14ac:dyDescent="0.3">
      <c r="A5" s="14" t="s">
        <v>14</v>
      </c>
      <c r="B5" s="1">
        <v>0.47822946785129378</v>
      </c>
      <c r="D5" s="6" t="s">
        <v>31</v>
      </c>
      <c r="E5" s="7">
        <f>(AVERAGEIFS(Tabla1[score],Tabla1[ticker],D5,Tabla1[modelo],"DecisionTree")+
 AVERAGEIFS(Tabla1[score],Tabla1[ticker],D5,Tabla1[modelo],"LinearRegression")+
 AVERAGEIFS(Tabla1[score],Tabla1[ticker],D5,Tabla1[modelo],"SVR"))/3</f>
        <v>0.58145677753087155</v>
      </c>
    </row>
    <row r="6" spans="1:5" x14ac:dyDescent="0.3">
      <c r="A6" s="15" t="s">
        <v>12</v>
      </c>
      <c r="B6" s="7">
        <v>0.40333075303992916</v>
      </c>
      <c r="D6" s="17" t="s">
        <v>39</v>
      </c>
      <c r="E6" s="18">
        <f>(AVERAGEIFS(Tabla1[score],Tabla1[ticker],D6,Tabla1[modelo],"DecisionTree")+
 AVERAGEIFS(Tabla1[score],Tabla1[ticker],D6,Tabla1[modelo],"LinearRegression")+
 AVERAGEIFS(Tabla1[score],Tabla1[ticker],D6,Tabla1[modelo],"SVR"))/3</f>
        <v>0.57681448177883032</v>
      </c>
    </row>
    <row r="7" spans="1:5" x14ac:dyDescent="0.3">
      <c r="A7" s="14" t="s">
        <v>13</v>
      </c>
      <c r="B7" s="1">
        <v>0.40332114749030229</v>
      </c>
      <c r="D7" s="6" t="s">
        <v>27</v>
      </c>
      <c r="E7" s="7">
        <f>(AVERAGEIFS(Tabla1[score],Tabla1[ticker],D7,Tabla1[modelo],"DecisionTree")+
 AVERAGEIFS(Tabla1[score],Tabla1[ticker],D7,Tabla1[modelo],"LinearRegression")+
 AVERAGEIFS(Tabla1[score],Tabla1[ticker],D7,Tabla1[modelo],"SVR"))/3</f>
        <v>0.56741622442475614</v>
      </c>
    </row>
    <row r="8" spans="1:5" x14ac:dyDescent="0.3">
      <c r="A8" s="15" t="s">
        <v>16</v>
      </c>
      <c r="B8" s="7">
        <v>0.4028508410649026</v>
      </c>
      <c r="D8" s="6" t="s">
        <v>32</v>
      </c>
      <c r="E8" s="7">
        <f>(AVERAGEIFS(Tabla1[score],Tabla1[ticker],D8,Tabla1[modelo],"DecisionTree")+
 AVERAGEIFS(Tabla1[score],Tabla1[ticker],D8,Tabla1[modelo],"LinearRegression")+
 AVERAGEIFS(Tabla1[score],Tabla1[ticker],D8,Tabla1[modelo],"SVR"))/3</f>
        <v>0.5673983562889372</v>
      </c>
    </row>
    <row r="9" spans="1:5" x14ac:dyDescent="0.3">
      <c r="A9" s="14" t="s">
        <v>54</v>
      </c>
      <c r="B9" s="1">
        <v>0.43384139090027302</v>
      </c>
      <c r="D9" s="19" t="s">
        <v>17</v>
      </c>
      <c r="E9" s="20">
        <f>(AVERAGEIFS(Tabla1[score],Tabla1[ticker],D9,Tabla1[modelo],"DecisionTree")+
 AVERAGEIFS(Tabla1[score],Tabla1[ticker],D9,Tabla1[modelo],"LinearRegression")+
 AVERAGEIFS(Tabla1[score],Tabla1[ticker],D9,Tabla1[modelo],"SVR"))/3</f>
        <v>0.56055377894671887</v>
      </c>
    </row>
    <row r="10" spans="1:5" x14ac:dyDescent="0.3">
      <c r="D10" t="s">
        <v>18</v>
      </c>
      <c r="E10" s="1">
        <f>(AVERAGEIFS(Tabla1[score],Tabla1[ticker],D10,Tabla1[modelo],"DecisionTree")+
 AVERAGEIFS(Tabla1[score],Tabla1[ticker],D10,Tabla1[modelo],"LinearRegression")+
 AVERAGEIFS(Tabla1[score],Tabla1[ticker],D10,Tabla1[modelo],"SVR"))/3</f>
        <v>0.5532544394070823</v>
      </c>
    </row>
    <row r="11" spans="1:5" x14ac:dyDescent="0.3">
      <c r="D11" t="s">
        <v>36</v>
      </c>
      <c r="E11" s="1">
        <f>(AVERAGEIFS(Tabla1[score],Tabla1[ticker],D11,Tabla1[modelo],"DecisionTree")+
 AVERAGEIFS(Tabla1[score],Tabla1[ticker],D11,Tabla1[modelo],"LinearRegression")+
 AVERAGEIFS(Tabla1[score],Tabla1[ticker],D11,Tabla1[modelo],"SVR"))/3</f>
        <v>0.53466839964719826</v>
      </c>
    </row>
    <row r="12" spans="1:5" x14ac:dyDescent="0.3">
      <c r="D12" t="s">
        <v>22</v>
      </c>
      <c r="E12" s="1">
        <f>(AVERAGEIFS(Tabla1[score],Tabla1[ticker],D12,Tabla1[modelo],"DecisionTree")+
 AVERAGEIFS(Tabla1[score],Tabla1[ticker],D12,Tabla1[modelo],"LinearRegression")+
 AVERAGEIFS(Tabla1[score],Tabla1[ticker],D12,Tabla1[modelo],"SVR"))/3</f>
        <v>0.50215944365895404</v>
      </c>
    </row>
    <row r="13" spans="1:5" x14ac:dyDescent="0.3">
      <c r="D13" t="s">
        <v>44</v>
      </c>
      <c r="E13" s="1">
        <f>(AVERAGEIFS(Tabla1[score],Tabla1[ticker],D13,Tabla1[modelo],"DecisionTree")+
 AVERAGEIFS(Tabla1[score],Tabla1[ticker],D13,Tabla1[modelo],"LinearRegression")+
 AVERAGEIFS(Tabla1[score],Tabla1[ticker],D13,Tabla1[modelo],"SVR"))/3</f>
        <v>0.50210459117085882</v>
      </c>
    </row>
    <row r="14" spans="1:5" x14ac:dyDescent="0.3">
      <c r="D14" t="s">
        <v>26</v>
      </c>
      <c r="E14" s="1">
        <f>(AVERAGEIFS(Tabla1[score],Tabla1[ticker],D14,Tabla1[modelo],"DecisionTree")+
 AVERAGEIFS(Tabla1[score],Tabla1[ticker],D14,Tabla1[modelo],"LinearRegression")+
 AVERAGEIFS(Tabla1[score],Tabla1[ticker],D14,Tabla1[modelo],"SVR"))/3</f>
        <v>0.48229627909234979</v>
      </c>
    </row>
    <row r="15" spans="1:5" x14ac:dyDescent="0.3">
      <c r="D15" t="s">
        <v>21</v>
      </c>
      <c r="E15" s="1">
        <f>(AVERAGEIFS(Tabla1[score],Tabla1[ticker],D15,Tabla1[modelo],"DecisionTree")+
 AVERAGEIFS(Tabla1[score],Tabla1[ticker],D15,Tabla1[modelo],"LinearRegression")+
 AVERAGEIFS(Tabla1[score],Tabla1[ticker],D15,Tabla1[modelo],"SVR"))/3</f>
        <v>0.47663993823422962</v>
      </c>
    </row>
    <row r="16" spans="1:5" x14ac:dyDescent="0.3">
      <c r="D16" t="s">
        <v>43</v>
      </c>
      <c r="E16" s="1">
        <f>(AVERAGEIFS(Tabla1[score],Tabla1[ticker],D16,Tabla1[modelo],"DecisionTree")+
 AVERAGEIFS(Tabla1[score],Tabla1[ticker],D16,Tabla1[modelo],"LinearRegression")+
 AVERAGEIFS(Tabla1[score],Tabla1[ticker],D16,Tabla1[modelo],"SVR"))/3</f>
        <v>0.47167820576450453</v>
      </c>
    </row>
    <row r="17" spans="4:5" x14ac:dyDescent="0.3">
      <c r="D17" t="s">
        <v>33</v>
      </c>
      <c r="E17" s="1">
        <f>(AVERAGEIFS(Tabla1[score],Tabla1[ticker],D17,Tabla1[modelo],"DecisionTree")+
 AVERAGEIFS(Tabla1[score],Tabla1[ticker],D17,Tabla1[modelo],"LinearRegression")+
 AVERAGEIFS(Tabla1[score],Tabla1[ticker],D17,Tabla1[modelo],"SVR"))/3</f>
        <v>0.43737733930871575</v>
      </c>
    </row>
    <row r="18" spans="4:5" x14ac:dyDescent="0.3">
      <c r="D18" t="s">
        <v>30</v>
      </c>
      <c r="E18" s="1">
        <f>(AVERAGEIFS(Tabla1[score],Tabla1[ticker],D18,Tabla1[modelo],"DecisionTree")+
 AVERAGEIFS(Tabla1[score],Tabla1[ticker],D18,Tabla1[modelo],"LinearRegression")+
 AVERAGEIFS(Tabla1[score],Tabla1[ticker],D18,Tabla1[modelo],"SVR"))/3</f>
        <v>0.43594891777629724</v>
      </c>
    </row>
    <row r="19" spans="4:5" x14ac:dyDescent="0.3">
      <c r="D19" t="s">
        <v>34</v>
      </c>
      <c r="E19" s="1">
        <f>(AVERAGEIFS(Tabla1[score],Tabla1[ticker],D19,Tabla1[modelo],"DecisionTree")+
 AVERAGEIFS(Tabla1[score],Tabla1[ticker],D19,Tabla1[modelo],"LinearRegression")+
 AVERAGEIFS(Tabla1[score],Tabla1[ticker],D19,Tabla1[modelo],"SVR"))/3</f>
        <v>0.43245473934612511</v>
      </c>
    </row>
    <row r="20" spans="4:5" x14ac:dyDescent="0.3">
      <c r="D20" t="s">
        <v>35</v>
      </c>
      <c r="E20" s="1">
        <f>(AVERAGEIFS(Tabla1[score],Tabla1[ticker],D20,Tabla1[modelo],"DecisionTree")+
 AVERAGEIFS(Tabla1[score],Tabla1[ticker],D20,Tabla1[modelo],"LinearRegression")+
 AVERAGEIFS(Tabla1[score],Tabla1[ticker],D20,Tabla1[modelo],"SVR"))/3</f>
        <v>0.43212239297789018</v>
      </c>
    </row>
    <row r="21" spans="4:5" x14ac:dyDescent="0.3">
      <c r="D21" t="s">
        <v>24</v>
      </c>
      <c r="E21" s="1">
        <f>(AVERAGEIFS(Tabla1[score],Tabla1[ticker],D21,Tabla1[modelo],"DecisionTree")+
 AVERAGEIFS(Tabla1[score],Tabla1[ticker],D21,Tabla1[modelo],"LinearRegression")+
 AVERAGEIFS(Tabla1[score],Tabla1[ticker],D21,Tabla1[modelo],"SVR"))/3</f>
        <v>0.41744735504842545</v>
      </c>
    </row>
    <row r="22" spans="4:5" x14ac:dyDescent="0.3">
      <c r="D22" t="s">
        <v>37</v>
      </c>
      <c r="E22" s="1">
        <f>(AVERAGEIFS(Tabla1[score],Tabla1[ticker],D22,Tabla1[modelo],"DecisionTree")+
 AVERAGEIFS(Tabla1[score],Tabla1[ticker],D22,Tabla1[modelo],"LinearRegression")+
 AVERAGEIFS(Tabla1[score],Tabla1[ticker],D22,Tabla1[modelo],"SVR"))/3</f>
        <v>0.41687042803360824</v>
      </c>
    </row>
    <row r="23" spans="4:5" x14ac:dyDescent="0.3">
      <c r="D23" t="s">
        <v>46</v>
      </c>
      <c r="E23" s="1">
        <f>(AVERAGEIFS(Tabla1[score],Tabla1[ticker],D23,Tabla1[modelo],"DecisionTree")+
 AVERAGEIFS(Tabla1[score],Tabla1[ticker],D23,Tabla1[modelo],"LinearRegression")+
 AVERAGEIFS(Tabla1[score],Tabla1[ticker],D23,Tabla1[modelo],"SVR"))/3</f>
        <v>0.40137354448539436</v>
      </c>
    </row>
    <row r="24" spans="4:5" x14ac:dyDescent="0.3">
      <c r="D24" t="s">
        <v>25</v>
      </c>
      <c r="E24" s="1">
        <f>(AVERAGEIFS(Tabla1[score],Tabla1[ticker],D24,Tabla1[modelo],"DecisionTree")+
 AVERAGEIFS(Tabla1[score],Tabla1[ticker],D24,Tabla1[modelo],"LinearRegression")+
 AVERAGEIFS(Tabla1[score],Tabla1[ticker],D24,Tabla1[modelo],"SVR"))/3</f>
        <v>0.39498491754613596</v>
      </c>
    </row>
    <row r="25" spans="4:5" x14ac:dyDescent="0.3">
      <c r="D25" t="s">
        <v>19</v>
      </c>
      <c r="E25" s="1">
        <f>(AVERAGEIFS(Tabla1[score],Tabla1[ticker],D25,Tabla1[modelo],"DecisionTree")+
 AVERAGEIFS(Tabla1[score],Tabla1[ticker],D25,Tabla1[modelo],"LinearRegression")+
 AVERAGEIFS(Tabla1[score],Tabla1[ticker],D25,Tabla1[modelo],"SVR"))/3</f>
        <v>0.38804652085451252</v>
      </c>
    </row>
    <row r="26" spans="4:5" x14ac:dyDescent="0.3">
      <c r="D26" t="s">
        <v>20</v>
      </c>
      <c r="E26" s="1">
        <f>(AVERAGEIFS(Tabla1[score],Tabla1[ticker],D26,Tabla1[modelo],"DecisionTree")+
 AVERAGEIFS(Tabla1[score],Tabla1[ticker],D26,Tabla1[modelo],"LinearRegression")+
 AVERAGEIFS(Tabla1[score],Tabla1[ticker],D26,Tabla1[modelo],"SVR"))/3</f>
        <v>0.36829778092754822</v>
      </c>
    </row>
    <row r="27" spans="4:5" x14ac:dyDescent="0.3">
      <c r="D27" t="s">
        <v>41</v>
      </c>
      <c r="E27" s="1">
        <f>(AVERAGEIFS(Tabla1[score],Tabla1[ticker],D27,Tabla1[modelo],"DecisionTree")+
 AVERAGEIFS(Tabla1[score],Tabla1[ticker],D27,Tabla1[modelo],"LinearRegression")+
 AVERAGEIFS(Tabla1[score],Tabla1[ticker],D27,Tabla1[modelo],"SVR"))/3</f>
        <v>0.36411057082860276</v>
      </c>
    </row>
    <row r="28" spans="4:5" x14ac:dyDescent="0.3">
      <c r="D28" t="s">
        <v>38</v>
      </c>
      <c r="E28" s="1">
        <f>(AVERAGEIFS(Tabla1[score],Tabla1[ticker],D28,Tabla1[modelo],"DecisionTree")+
 AVERAGEIFS(Tabla1[score],Tabla1[ticker],D28,Tabla1[modelo],"LinearRegression")+
 AVERAGEIFS(Tabla1[score],Tabla1[ticker],D28,Tabla1[modelo],"SVR"))/3</f>
        <v>0.3604963269297366</v>
      </c>
    </row>
    <row r="29" spans="4:5" x14ac:dyDescent="0.3">
      <c r="D29" t="s">
        <v>11</v>
      </c>
      <c r="E29" s="1">
        <f>(AVERAGEIFS(Tabla1[score],Tabla1[ticker],D29,Tabla1[modelo],"DecisionTree")+
 AVERAGEIFS(Tabla1[score],Tabla1[ticker],D29,Tabla1[modelo],"LinearRegression")+
 AVERAGEIFS(Tabla1[score],Tabla1[ticker],D29,Tabla1[modelo],"SVR"))/3</f>
        <v>0.33917198197701054</v>
      </c>
    </row>
    <row r="30" spans="4:5" x14ac:dyDescent="0.3">
      <c r="D30" t="s">
        <v>40</v>
      </c>
      <c r="E30" s="1">
        <f>(AVERAGEIFS(Tabla1[score],Tabla1[ticker],D30,Tabla1[modelo],"DecisionTree")+
 AVERAGEIFS(Tabla1[score],Tabla1[ticker],D30,Tabla1[modelo],"LinearRegression")+
 AVERAGEIFS(Tabla1[score],Tabla1[ticker],D30,Tabla1[modelo],"SVR"))/3</f>
        <v>0.33299176674209757</v>
      </c>
    </row>
    <row r="31" spans="4:5" x14ac:dyDescent="0.3">
      <c r="D31" t="s">
        <v>29</v>
      </c>
      <c r="E31" s="1">
        <f>(AVERAGEIFS(Tabla1[score],Tabla1[ticker],D31,Tabla1[modelo],"DecisionTree")+
 AVERAGEIFS(Tabla1[score],Tabla1[ticker],D31,Tabla1[modelo],"LinearRegression")+
 AVERAGEIFS(Tabla1[score],Tabla1[ticker],D31,Tabla1[modelo],"SVR"))/3</f>
        <v>0.27439837674983769</v>
      </c>
    </row>
    <row r="32" spans="4:5" x14ac:dyDescent="0.3">
      <c r="D32" t="s">
        <v>28</v>
      </c>
      <c r="E32" s="1">
        <f>(AVERAGEIFS(Tabla1[score],Tabla1[ticker],D32,Tabla1[modelo],"DecisionTree")+
 AVERAGEIFS(Tabla1[score],Tabla1[ticker],D32,Tabla1[modelo],"LinearRegression")+
 AVERAGEIFS(Tabla1[score],Tabla1[ticker],D32,Tabla1[modelo],"SVR"))/3</f>
        <v>0.22486386350280249</v>
      </c>
    </row>
    <row r="33" spans="4:5" x14ac:dyDescent="0.3">
      <c r="D33" t="s">
        <v>45</v>
      </c>
      <c r="E33" s="1">
        <f>(AVERAGEIFS(Tabla1[score],Tabla1[ticker],D33,Tabla1[modelo],"DecisionTree")+
 AVERAGEIFS(Tabla1[score],Tabla1[ticker],D33,Tabla1[modelo],"LinearRegression")+
 AVERAGEIFS(Tabla1[score],Tabla1[ticker],D33,Tabla1[modelo],"SVR"))/3</f>
        <v>0.12518083317867057</v>
      </c>
    </row>
    <row r="34" spans="4:5" x14ac:dyDescent="0.3">
      <c r="D34" t="s">
        <v>42</v>
      </c>
      <c r="E34" s="1">
        <f>(AVERAGEIFS(Tabla1[score],Tabla1[ticker],D34,Tabla1[modelo],"DecisionTree")+
 AVERAGEIFS(Tabla1[score],Tabla1[ticker],D34,Tabla1[modelo],"LinearRegression")+
 AVERAGEIFS(Tabla1[score],Tabla1[ticker],D34,Tabla1[modelo],"SVR"))/3</f>
        <v>0.12262775437461493</v>
      </c>
    </row>
  </sheetData>
  <pageMargins left="0.7" right="0.7" top="0.75" bottom="0.75" header="0.3" footer="0.3"/>
  <pageSetup paperSize="9"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A70D-EEB2-4443-AE3D-5E40C8E3F1BB}">
  <dimension ref="B1:AF95"/>
  <sheetViews>
    <sheetView workbookViewId="0">
      <selection activeCell="B1" sqref="B1:H17"/>
    </sheetView>
  </sheetViews>
  <sheetFormatPr baseColWidth="10" defaultRowHeight="14.4" x14ac:dyDescent="0.3"/>
  <cols>
    <col min="2" max="2" width="9.77734375" bestFit="1" customWidth="1"/>
    <col min="3" max="3" width="16.77734375" bestFit="1" customWidth="1"/>
    <col min="4" max="4" width="8.33203125" bestFit="1" customWidth="1"/>
    <col min="5" max="5" width="8.77734375" bestFit="1" customWidth="1"/>
    <col min="6" max="6" width="10.44140625" bestFit="1" customWidth="1"/>
    <col min="7" max="7" width="7.88671875" bestFit="1" customWidth="1"/>
    <col min="8" max="8" width="16.5546875" bestFit="1" customWidth="1"/>
    <col min="10" max="10" width="8.77734375" bestFit="1" customWidth="1"/>
    <col min="11" max="11" width="14.88671875" bestFit="1" customWidth="1"/>
    <col min="12" max="12" width="6.88671875" bestFit="1" customWidth="1"/>
    <col min="13" max="13" width="7.44140625" bestFit="1" customWidth="1"/>
    <col min="14" max="14" width="9.109375" bestFit="1" customWidth="1"/>
    <col min="15" max="15" width="6.88671875" bestFit="1" customWidth="1"/>
    <col min="16" max="16" width="13.88671875" bestFit="1" customWidth="1"/>
    <col min="18" max="18" width="30.5546875" customWidth="1"/>
    <col min="19" max="19" width="30.88671875" customWidth="1"/>
    <col min="21" max="21" width="12.109375" customWidth="1"/>
    <col min="22" max="22" width="7.6640625" customWidth="1"/>
    <col min="23" max="23" width="8.44140625" customWidth="1"/>
    <col min="24" max="24" width="9.6640625" customWidth="1"/>
    <col min="25" max="25" width="8.88671875" customWidth="1"/>
    <col min="26" max="26" width="9.77734375" customWidth="1"/>
    <col min="28" max="28" width="9.77734375" bestFit="1" customWidth="1"/>
    <col min="29" max="29" width="11.88671875" bestFit="1" customWidth="1"/>
    <col min="30" max="30" width="19.33203125" bestFit="1" customWidth="1"/>
    <col min="31" max="31" width="18.77734375" bestFit="1" customWidth="1"/>
    <col min="32" max="32" width="16.33203125" customWidth="1"/>
  </cols>
  <sheetData>
    <row r="1" spans="2:32" x14ac:dyDescent="0.3">
      <c r="B1" s="27" t="s">
        <v>65</v>
      </c>
      <c r="C1" s="27"/>
      <c r="D1" s="27"/>
      <c r="E1" s="27"/>
      <c r="F1" s="27"/>
      <c r="G1" s="27"/>
      <c r="H1" s="27"/>
      <c r="J1" s="27" t="s">
        <v>64</v>
      </c>
      <c r="K1" s="27"/>
      <c r="L1" s="27"/>
      <c r="M1" s="27"/>
      <c r="N1" s="27"/>
      <c r="O1" s="27"/>
      <c r="P1" s="27"/>
      <c r="R1" s="28" t="s">
        <v>66</v>
      </c>
      <c r="S1" s="28"/>
      <c r="U1" s="29" t="s">
        <v>79</v>
      </c>
      <c r="V1" s="29"/>
      <c r="W1" s="29"/>
      <c r="X1" s="29"/>
      <c r="Y1" s="29"/>
      <c r="Z1" s="29"/>
      <c r="AB1" s="30" t="s">
        <v>84</v>
      </c>
      <c r="AC1" s="30"/>
      <c r="AD1" s="30"/>
      <c r="AE1" s="30"/>
      <c r="AF1" s="30"/>
    </row>
    <row r="2" spans="2:32" x14ac:dyDescent="0.3">
      <c r="B2" s="31" t="s">
        <v>57</v>
      </c>
      <c r="C2" s="31" t="s">
        <v>58</v>
      </c>
      <c r="D2" s="31" t="s">
        <v>59</v>
      </c>
      <c r="E2" s="31" t="s">
        <v>60</v>
      </c>
      <c r="F2" s="31" t="s">
        <v>61</v>
      </c>
      <c r="G2" s="31" t="s">
        <v>62</v>
      </c>
      <c r="H2" s="31" t="s">
        <v>63</v>
      </c>
      <c r="J2" s="22" t="s">
        <v>57</v>
      </c>
      <c r="K2" s="22" t="s">
        <v>58</v>
      </c>
      <c r="L2" s="22" t="s">
        <v>59</v>
      </c>
      <c r="M2" s="22" t="s">
        <v>60</v>
      </c>
      <c r="N2" s="22" t="s">
        <v>61</v>
      </c>
      <c r="O2" s="22" t="s">
        <v>62</v>
      </c>
      <c r="P2" s="22" t="s">
        <v>63</v>
      </c>
      <c r="R2" s="23" t="s">
        <v>9</v>
      </c>
      <c r="S2" s="23" t="s">
        <v>67</v>
      </c>
      <c r="U2" s="21" t="s">
        <v>9</v>
      </c>
      <c r="V2" s="21" t="s">
        <v>70</v>
      </c>
      <c r="W2" s="21" t="s">
        <v>71</v>
      </c>
      <c r="X2" s="21" t="s">
        <v>72</v>
      </c>
      <c r="Y2" s="21" t="s">
        <v>73</v>
      </c>
      <c r="Z2" s="21" t="s">
        <v>74</v>
      </c>
      <c r="AB2" s="24" t="s">
        <v>9</v>
      </c>
      <c r="AC2" s="24" t="s">
        <v>80</v>
      </c>
      <c r="AD2" s="24" t="s">
        <v>81</v>
      </c>
      <c r="AE2" s="24" t="s">
        <v>82</v>
      </c>
      <c r="AF2" s="24" t="s">
        <v>83</v>
      </c>
    </row>
    <row r="3" spans="2:32" x14ac:dyDescent="0.3">
      <c r="B3" s="25" t="s">
        <v>17</v>
      </c>
      <c r="C3" s="25" t="s">
        <v>12</v>
      </c>
      <c r="D3" s="32">
        <v>0.205396555545067</v>
      </c>
      <c r="E3" s="32">
        <v>1.11094374426701</v>
      </c>
      <c r="F3" s="25">
        <v>371</v>
      </c>
      <c r="G3" s="32">
        <v>0.27417557582924601</v>
      </c>
      <c r="H3" s="32">
        <v>0.248397427029798</v>
      </c>
      <c r="J3" t="s">
        <v>11</v>
      </c>
      <c r="K3" t="s">
        <v>12</v>
      </c>
      <c r="L3" s="2">
        <v>3.2714988696801998E-2</v>
      </c>
      <c r="M3" s="2">
        <v>0.97061235296112902</v>
      </c>
      <c r="N3">
        <v>420</v>
      </c>
      <c r="O3" s="2">
        <v>5.3037165248531498E-2</v>
      </c>
      <c r="P3" s="2">
        <v>0.34344083284864202</v>
      </c>
      <c r="R3" t="s">
        <v>23</v>
      </c>
      <c r="S3" t="s">
        <v>68</v>
      </c>
      <c r="U3" t="s">
        <v>23</v>
      </c>
      <c r="V3" t="s">
        <v>75</v>
      </c>
      <c r="W3" t="s">
        <v>75</v>
      </c>
      <c r="X3" t="s">
        <v>76</v>
      </c>
      <c r="Y3" t="s">
        <v>77</v>
      </c>
      <c r="Z3">
        <v>3</v>
      </c>
      <c r="AB3" s="25" t="s">
        <v>23</v>
      </c>
      <c r="AC3" s="25">
        <v>3</v>
      </c>
      <c r="AD3" s="25">
        <v>10</v>
      </c>
      <c r="AE3" s="25">
        <v>1</v>
      </c>
      <c r="AF3" s="26" t="s">
        <v>85</v>
      </c>
    </row>
    <row r="4" spans="2:32" x14ac:dyDescent="0.3">
      <c r="B4" s="25" t="s">
        <v>17</v>
      </c>
      <c r="C4" s="25" t="s">
        <v>15</v>
      </c>
      <c r="D4" s="32">
        <v>0.23842018458843101</v>
      </c>
      <c r="E4" s="32">
        <v>1.61485724676187</v>
      </c>
      <c r="F4" s="25">
        <v>329</v>
      </c>
      <c r="G4" s="32">
        <v>0.82142928273245497</v>
      </c>
      <c r="H4" s="32">
        <v>0.210614806547746</v>
      </c>
      <c r="J4" t="s">
        <v>11</v>
      </c>
      <c r="K4" t="s">
        <v>15</v>
      </c>
      <c r="L4" s="2">
        <v>0.13443596106545699</v>
      </c>
      <c r="M4" s="2">
        <v>1.0220091070942801</v>
      </c>
      <c r="N4">
        <v>391</v>
      </c>
      <c r="O4" s="2">
        <v>0.13288899097294701</v>
      </c>
      <c r="P4" s="2">
        <v>0.34039492608691202</v>
      </c>
      <c r="R4" t="s">
        <v>31</v>
      </c>
      <c r="S4" t="s">
        <v>69</v>
      </c>
      <c r="U4" t="s">
        <v>31</v>
      </c>
      <c r="V4" t="s">
        <v>75</v>
      </c>
      <c r="W4" t="s">
        <v>75</v>
      </c>
      <c r="X4" t="s">
        <v>76</v>
      </c>
      <c r="Y4" t="s">
        <v>77</v>
      </c>
      <c r="Z4">
        <v>3</v>
      </c>
      <c r="AB4" s="25" t="s">
        <v>31</v>
      </c>
      <c r="AC4" s="25">
        <v>3</v>
      </c>
      <c r="AD4" s="25">
        <v>5</v>
      </c>
      <c r="AE4" s="25">
        <v>1</v>
      </c>
      <c r="AF4" s="26" t="s">
        <v>85</v>
      </c>
    </row>
    <row r="5" spans="2:32" x14ac:dyDescent="0.3">
      <c r="B5" s="25" t="s">
        <v>17</v>
      </c>
      <c r="C5" s="25" t="s">
        <v>16</v>
      </c>
      <c r="D5" s="32">
        <v>0.23090371221964701</v>
      </c>
      <c r="E5" s="32">
        <v>1.1621636885641899</v>
      </c>
      <c r="F5" s="25">
        <v>355</v>
      </c>
      <c r="G5" s="32">
        <v>0.36640635849215802</v>
      </c>
      <c r="H5" s="32">
        <v>0.29376198163844602</v>
      </c>
      <c r="J5" t="s">
        <v>11</v>
      </c>
      <c r="K5" t="s">
        <v>16</v>
      </c>
      <c r="L5" s="2">
        <v>3.6314721643289E-2</v>
      </c>
      <c r="M5" s="2">
        <v>0.84284098020638598</v>
      </c>
      <c r="N5">
        <v>438</v>
      </c>
      <c r="O5" s="2">
        <v>-0.16350325195288501</v>
      </c>
      <c r="P5" s="2">
        <v>0.42542690278580603</v>
      </c>
      <c r="R5" t="s">
        <v>27</v>
      </c>
      <c r="S5" t="s">
        <v>69</v>
      </c>
      <c r="U5" t="s">
        <v>27</v>
      </c>
      <c r="V5" t="s">
        <v>75</v>
      </c>
      <c r="W5" t="s">
        <v>75</v>
      </c>
      <c r="X5" t="s">
        <v>78</v>
      </c>
      <c r="Y5" t="s">
        <v>77</v>
      </c>
      <c r="Z5">
        <v>3</v>
      </c>
      <c r="AB5" s="25" t="s">
        <v>27</v>
      </c>
      <c r="AC5" s="25">
        <v>3</v>
      </c>
      <c r="AD5" s="25">
        <v>2</v>
      </c>
      <c r="AE5" s="25">
        <v>5</v>
      </c>
      <c r="AF5" s="26" t="s">
        <v>85</v>
      </c>
    </row>
    <row r="6" spans="2:32" x14ac:dyDescent="0.3">
      <c r="B6" s="25" t="s">
        <v>23</v>
      </c>
      <c r="C6" s="25" t="s">
        <v>12</v>
      </c>
      <c r="D6" s="32">
        <v>0.221794813082377</v>
      </c>
      <c r="E6" s="32">
        <v>1.27803186086283</v>
      </c>
      <c r="F6" s="25">
        <v>385</v>
      </c>
      <c r="G6" s="32">
        <v>0.520009987543399</v>
      </c>
      <c r="H6" s="32">
        <v>0.223303595674162</v>
      </c>
      <c r="J6" t="s">
        <v>17</v>
      </c>
      <c r="K6" t="s">
        <v>12</v>
      </c>
      <c r="L6" s="2">
        <v>0.205396555545067</v>
      </c>
      <c r="M6" s="2">
        <v>1.11094374426701</v>
      </c>
      <c r="N6">
        <v>371</v>
      </c>
      <c r="O6" s="2">
        <v>0.27417557582924601</v>
      </c>
      <c r="P6" s="2">
        <v>0.248397427029798</v>
      </c>
      <c r="R6" t="s">
        <v>32</v>
      </c>
      <c r="S6" t="s">
        <v>68</v>
      </c>
      <c r="U6" t="s">
        <v>32</v>
      </c>
      <c r="V6" t="s">
        <v>75</v>
      </c>
      <c r="W6" t="s">
        <v>75</v>
      </c>
      <c r="X6" t="s">
        <v>78</v>
      </c>
      <c r="Y6" t="s">
        <v>77</v>
      </c>
      <c r="Z6">
        <v>3</v>
      </c>
      <c r="AB6" s="25" t="s">
        <v>32</v>
      </c>
      <c r="AC6" s="25">
        <v>3</v>
      </c>
      <c r="AD6" s="25">
        <v>2</v>
      </c>
      <c r="AE6" s="25">
        <v>10</v>
      </c>
      <c r="AF6" s="26" t="s">
        <v>85</v>
      </c>
    </row>
    <row r="7" spans="2:32" x14ac:dyDescent="0.3">
      <c r="B7" s="25" t="s">
        <v>23</v>
      </c>
      <c r="C7" s="25" t="s">
        <v>15</v>
      </c>
      <c r="D7" s="32">
        <v>0.16613798330041499</v>
      </c>
      <c r="E7" s="32">
        <v>3.1793147394727601</v>
      </c>
      <c r="F7" s="25">
        <v>287</v>
      </c>
      <c r="G7" s="32">
        <v>1.6995484075405101</v>
      </c>
      <c r="H7" s="32">
        <v>0.177116189718553</v>
      </c>
      <c r="J7" t="s">
        <v>17</v>
      </c>
      <c r="K7" t="s">
        <v>15</v>
      </c>
      <c r="L7" s="2">
        <v>0.23842018458843101</v>
      </c>
      <c r="M7" s="2">
        <v>1.61485724676187</v>
      </c>
      <c r="N7">
        <v>329</v>
      </c>
      <c r="O7" s="2">
        <v>0.82142928273245497</v>
      </c>
      <c r="P7" s="2">
        <v>0.210614806547746</v>
      </c>
      <c r="R7" t="s">
        <v>17</v>
      </c>
      <c r="S7" t="s">
        <v>69</v>
      </c>
      <c r="U7" t="s">
        <v>17</v>
      </c>
      <c r="V7" t="s">
        <v>75</v>
      </c>
      <c r="W7" t="s">
        <v>75</v>
      </c>
      <c r="X7" t="s">
        <v>78</v>
      </c>
      <c r="Y7" t="s">
        <v>77</v>
      </c>
      <c r="Z7">
        <v>3</v>
      </c>
      <c r="AB7" s="25" t="s">
        <v>17</v>
      </c>
      <c r="AC7" s="25">
        <v>3</v>
      </c>
      <c r="AD7" s="25">
        <v>2</v>
      </c>
      <c r="AE7" s="25">
        <v>10</v>
      </c>
      <c r="AF7" s="26" t="s">
        <v>85</v>
      </c>
    </row>
    <row r="8" spans="2:32" x14ac:dyDescent="0.3">
      <c r="B8" s="25" t="s">
        <v>23</v>
      </c>
      <c r="C8" s="25" t="s">
        <v>16</v>
      </c>
      <c r="D8" s="32">
        <v>0.208764011252563</v>
      </c>
      <c r="E8" s="32">
        <v>1.3627275551310301</v>
      </c>
      <c r="F8" s="25">
        <v>383</v>
      </c>
      <c r="G8" s="32">
        <v>0.66187136532843904</v>
      </c>
      <c r="H8" s="32">
        <v>0.18618030297273799</v>
      </c>
      <c r="J8" t="s">
        <v>17</v>
      </c>
      <c r="K8" t="s">
        <v>16</v>
      </c>
      <c r="L8" s="2">
        <v>0.23090371221964701</v>
      </c>
      <c r="M8" s="2">
        <v>1.1621636885641899</v>
      </c>
      <c r="N8">
        <v>355</v>
      </c>
      <c r="O8" s="2">
        <v>0.36640635849215802</v>
      </c>
      <c r="P8" s="2">
        <v>0.29376198163844602</v>
      </c>
    </row>
    <row r="9" spans="2:32" x14ac:dyDescent="0.3">
      <c r="B9" s="25" t="s">
        <v>27</v>
      </c>
      <c r="C9" s="25" t="s">
        <v>12</v>
      </c>
      <c r="D9" s="32">
        <v>0.20911322204532801</v>
      </c>
      <c r="E9" s="32">
        <v>1.1857920453606901</v>
      </c>
      <c r="F9" s="25">
        <v>389</v>
      </c>
      <c r="G9" s="32">
        <v>0.47404186996749398</v>
      </c>
      <c r="H9" s="32">
        <v>0.146962136075934</v>
      </c>
      <c r="J9" t="s">
        <v>18</v>
      </c>
      <c r="K9" t="s">
        <v>12</v>
      </c>
      <c r="L9" s="2">
        <v>9.7235512410647304E-2</v>
      </c>
      <c r="M9" s="2">
        <v>1.18924979681798</v>
      </c>
      <c r="N9">
        <v>381</v>
      </c>
      <c r="O9" s="2">
        <v>0.50450897667436601</v>
      </c>
      <c r="P9" s="2">
        <v>0.12809173753898501</v>
      </c>
    </row>
    <row r="10" spans="2:32" x14ac:dyDescent="0.3">
      <c r="B10" s="25" t="s">
        <v>27</v>
      </c>
      <c r="C10" s="25" t="s">
        <v>15</v>
      </c>
      <c r="D10" s="32">
        <v>0.15125400088798599</v>
      </c>
      <c r="E10" s="32">
        <v>1.4681610086446899</v>
      </c>
      <c r="F10" s="25">
        <v>363</v>
      </c>
      <c r="G10" s="32">
        <v>0.90976539903624998</v>
      </c>
      <c r="H10" s="32">
        <v>0.109122085632369</v>
      </c>
      <c r="J10" t="s">
        <v>18</v>
      </c>
      <c r="K10" t="s">
        <v>15</v>
      </c>
      <c r="L10" s="2">
        <v>0.139437171361774</v>
      </c>
      <c r="M10" s="2">
        <v>1.5136411683061299</v>
      </c>
      <c r="N10">
        <v>363</v>
      </c>
      <c r="O10" s="2">
        <v>1.00328795097066</v>
      </c>
      <c r="P10" s="2">
        <v>0.11909685540113001</v>
      </c>
    </row>
    <row r="11" spans="2:32" x14ac:dyDescent="0.3">
      <c r="B11" s="25" t="s">
        <v>27</v>
      </c>
      <c r="C11" s="25" t="s">
        <v>16</v>
      </c>
      <c r="D11" s="32">
        <v>0.122170064332703</v>
      </c>
      <c r="E11" s="32">
        <v>1.1575477802834999</v>
      </c>
      <c r="F11" s="25">
        <v>387</v>
      </c>
      <c r="G11" s="32">
        <v>0.42567620937846001</v>
      </c>
      <c r="H11" s="32">
        <v>0.117128462615385</v>
      </c>
      <c r="J11" t="s">
        <v>18</v>
      </c>
      <c r="K11" t="s">
        <v>16</v>
      </c>
      <c r="L11" s="2">
        <v>5.2604988555934797E-2</v>
      </c>
      <c r="M11" s="2">
        <v>1.42324172506028</v>
      </c>
      <c r="N11">
        <v>417</v>
      </c>
      <c r="O11" s="2">
        <v>0.92438523363996905</v>
      </c>
      <c r="P11" s="2">
        <v>0.130277592157171</v>
      </c>
    </row>
    <row r="12" spans="2:32" x14ac:dyDescent="0.3">
      <c r="B12" s="25" t="s">
        <v>31</v>
      </c>
      <c r="C12" s="25" t="s">
        <v>12</v>
      </c>
      <c r="D12" s="32">
        <v>0.16873194939816399</v>
      </c>
      <c r="E12" s="32">
        <v>1.43526541280381</v>
      </c>
      <c r="F12" s="25">
        <v>380</v>
      </c>
      <c r="G12" s="32">
        <v>0.93229285810740004</v>
      </c>
      <c r="H12" s="32">
        <v>0.13540346681291801</v>
      </c>
      <c r="J12" t="s">
        <v>19</v>
      </c>
      <c r="K12" t="s">
        <v>12</v>
      </c>
      <c r="L12" s="2">
        <v>0.194186181448047</v>
      </c>
      <c r="M12" s="2">
        <v>0.62827051723143301</v>
      </c>
      <c r="N12">
        <v>459</v>
      </c>
      <c r="O12" s="2">
        <v>-0.861640477729962</v>
      </c>
      <c r="P12" s="2">
        <v>0.42855202869956899</v>
      </c>
    </row>
    <row r="13" spans="2:32" x14ac:dyDescent="0.3">
      <c r="B13" s="25" t="s">
        <v>31</v>
      </c>
      <c r="C13" s="25" t="s">
        <v>15</v>
      </c>
      <c r="D13" s="32">
        <v>0.115329743915539</v>
      </c>
      <c r="E13" s="32">
        <v>1.34183813875165</v>
      </c>
      <c r="F13" s="25">
        <v>356</v>
      </c>
      <c r="G13" s="32">
        <v>0.84292531200203802</v>
      </c>
      <c r="H13" s="32">
        <v>0.127390778555828</v>
      </c>
      <c r="J13" t="s">
        <v>19</v>
      </c>
      <c r="K13" t="s">
        <v>15</v>
      </c>
      <c r="L13" s="2">
        <v>0.207691345559223</v>
      </c>
      <c r="M13" s="2">
        <v>0.89823826022303999</v>
      </c>
      <c r="N13">
        <v>327</v>
      </c>
      <c r="O13" s="2">
        <v>-0.19145165567386099</v>
      </c>
      <c r="P13" s="2">
        <v>0.231223743805688</v>
      </c>
    </row>
    <row r="14" spans="2:32" x14ac:dyDescent="0.3">
      <c r="B14" s="25" t="s">
        <v>31</v>
      </c>
      <c r="C14" s="25" t="s">
        <v>16</v>
      </c>
      <c r="D14" s="32">
        <v>0.165444026636309</v>
      </c>
      <c r="E14" s="32">
        <v>1.23853755618253</v>
      </c>
      <c r="F14" s="25">
        <v>372</v>
      </c>
      <c r="G14" s="32">
        <v>0.58354207901157695</v>
      </c>
      <c r="H14" s="32">
        <v>0.13770863278314699</v>
      </c>
      <c r="J14" t="s">
        <v>19</v>
      </c>
      <c r="K14" t="s">
        <v>16</v>
      </c>
      <c r="L14" s="2">
        <v>0.15788067981734299</v>
      </c>
      <c r="M14" s="2">
        <v>0.87694845756129602</v>
      </c>
      <c r="N14">
        <v>393</v>
      </c>
      <c r="O14" s="2">
        <v>-0.18549359073816701</v>
      </c>
      <c r="P14" s="2">
        <v>0.226461554554794</v>
      </c>
    </row>
    <row r="15" spans="2:32" x14ac:dyDescent="0.3">
      <c r="B15" s="25" t="s">
        <v>32</v>
      </c>
      <c r="C15" s="25" t="s">
        <v>12</v>
      </c>
      <c r="D15" s="32">
        <v>0.15327590147613401</v>
      </c>
      <c r="E15" s="32">
        <v>1.2016279771984599</v>
      </c>
      <c r="F15" s="25">
        <v>439</v>
      </c>
      <c r="G15" s="32">
        <v>0.42914661701653301</v>
      </c>
      <c r="H15" s="32">
        <v>0.199886058633132</v>
      </c>
      <c r="J15" t="s">
        <v>20</v>
      </c>
      <c r="K15" t="s">
        <v>12</v>
      </c>
      <c r="L15" s="2">
        <v>0.139834132086917</v>
      </c>
      <c r="M15" s="2">
        <v>0.74280795749971495</v>
      </c>
      <c r="N15">
        <v>383</v>
      </c>
      <c r="O15" s="2">
        <v>-0.32555457321324899</v>
      </c>
      <c r="P15" s="2">
        <v>0.39901808887024498</v>
      </c>
    </row>
    <row r="16" spans="2:32" x14ac:dyDescent="0.3">
      <c r="B16" s="25" t="s">
        <v>32</v>
      </c>
      <c r="C16" s="25" t="s">
        <v>15</v>
      </c>
      <c r="D16" s="32">
        <v>0.27987530963716301</v>
      </c>
      <c r="E16" s="32">
        <v>1.375195576808</v>
      </c>
      <c r="F16" s="25">
        <v>391</v>
      </c>
      <c r="G16" s="32">
        <v>0.70585099093812498</v>
      </c>
      <c r="H16" s="32">
        <v>0.14610625339789499</v>
      </c>
      <c r="J16" t="s">
        <v>20</v>
      </c>
      <c r="K16" t="s">
        <v>15</v>
      </c>
      <c r="L16" s="2">
        <v>0.256192984552572</v>
      </c>
      <c r="M16" s="2">
        <v>0.73795826350819305</v>
      </c>
      <c r="N16">
        <v>397</v>
      </c>
      <c r="O16" s="2">
        <v>-0.34321462354224702</v>
      </c>
      <c r="P16" s="2">
        <v>0.37344715384746702</v>
      </c>
    </row>
    <row r="17" spans="2:16" x14ac:dyDescent="0.3">
      <c r="B17" s="25" t="s">
        <v>32</v>
      </c>
      <c r="C17" s="25" t="s">
        <v>16</v>
      </c>
      <c r="D17" s="32">
        <v>0.20636161103122899</v>
      </c>
      <c r="E17" s="32">
        <v>1.1247562447819599</v>
      </c>
      <c r="F17" s="25">
        <v>423</v>
      </c>
      <c r="G17" s="32">
        <v>0.31604935208295898</v>
      </c>
      <c r="H17" s="32">
        <v>0.21709316432690601</v>
      </c>
      <c r="J17" t="s">
        <v>20</v>
      </c>
      <c r="K17" t="s">
        <v>16</v>
      </c>
      <c r="L17" s="2">
        <v>0.226150780512649</v>
      </c>
      <c r="M17" s="2">
        <v>0.72043181279802704</v>
      </c>
      <c r="N17">
        <v>373</v>
      </c>
      <c r="O17" s="2">
        <v>-0.33664026220729198</v>
      </c>
      <c r="P17" s="2">
        <v>0.45907074576513501</v>
      </c>
    </row>
    <row r="18" spans="2:16" x14ac:dyDescent="0.3">
      <c r="J18" t="s">
        <v>21</v>
      </c>
      <c r="K18" t="s">
        <v>12</v>
      </c>
      <c r="L18" s="2">
        <v>7.3500648915439896E-3</v>
      </c>
      <c r="M18" s="2">
        <v>0.98531449351031297</v>
      </c>
      <c r="N18">
        <v>386</v>
      </c>
      <c r="O18" s="2">
        <v>9.3958151293819694E-2</v>
      </c>
      <c r="P18" s="2">
        <v>0.321654313883105</v>
      </c>
    </row>
    <row r="19" spans="2:16" x14ac:dyDescent="0.3">
      <c r="J19" t="s">
        <v>21</v>
      </c>
      <c r="K19" t="s">
        <v>15</v>
      </c>
      <c r="L19" s="2">
        <v>5.2885376078247101E-2</v>
      </c>
      <c r="M19" s="2">
        <v>4.1176204024174998</v>
      </c>
      <c r="N19">
        <v>137</v>
      </c>
      <c r="O19" s="2">
        <v>1.61788567184844</v>
      </c>
      <c r="P19" s="2">
        <v>0.29209692484997901</v>
      </c>
    </row>
    <row r="20" spans="2:16" x14ac:dyDescent="0.3">
      <c r="J20" t="s">
        <v>21</v>
      </c>
      <c r="K20" t="s">
        <v>16</v>
      </c>
      <c r="L20" s="2">
        <v>3.7401739289903299E-2</v>
      </c>
      <c r="M20" s="2">
        <v>0.92157077301224399</v>
      </c>
      <c r="N20">
        <v>358</v>
      </c>
      <c r="O20" s="2">
        <v>-1.3377176925446601E-2</v>
      </c>
      <c r="P20" s="2">
        <v>0.31336772735884599</v>
      </c>
    </row>
    <row r="21" spans="2:16" x14ac:dyDescent="0.3">
      <c r="J21" t="s">
        <v>22</v>
      </c>
      <c r="K21" t="s">
        <v>12</v>
      </c>
      <c r="L21" s="2">
        <v>5.1401471950853199E-2</v>
      </c>
      <c r="M21" s="2">
        <v>1.12767299466104</v>
      </c>
      <c r="N21">
        <v>302</v>
      </c>
      <c r="O21" s="2">
        <v>0.32011056772799801</v>
      </c>
      <c r="P21" s="2">
        <v>0.16566828835504399</v>
      </c>
    </row>
    <row r="22" spans="2:16" x14ac:dyDescent="0.3">
      <c r="J22" t="s">
        <v>22</v>
      </c>
      <c r="K22" t="s">
        <v>15</v>
      </c>
      <c r="L22" s="2">
        <v>9.9728554246682005E-2</v>
      </c>
      <c r="M22" s="2">
        <v>1.48349150874698</v>
      </c>
      <c r="N22">
        <v>379</v>
      </c>
      <c r="O22" s="2">
        <v>0.81739454232747</v>
      </c>
      <c r="P22" s="2">
        <v>0.15156540751251699</v>
      </c>
    </row>
    <row r="23" spans="2:16" x14ac:dyDescent="0.3">
      <c r="J23" t="s">
        <v>22</v>
      </c>
      <c r="K23" t="s">
        <v>16</v>
      </c>
      <c r="L23" s="2">
        <v>8.5100655723708701E-2</v>
      </c>
      <c r="M23" s="2">
        <v>1.2991134817735599</v>
      </c>
      <c r="N23">
        <v>298</v>
      </c>
      <c r="O23" s="2">
        <v>0.602799735020215</v>
      </c>
      <c r="P23" s="2">
        <v>0.150402357264319</v>
      </c>
    </row>
    <row r="24" spans="2:16" x14ac:dyDescent="0.3">
      <c r="J24" t="s">
        <v>23</v>
      </c>
      <c r="K24" t="s">
        <v>12</v>
      </c>
      <c r="L24" s="2">
        <v>0.221794813082377</v>
      </c>
      <c r="M24" s="2">
        <v>1.27803186086283</v>
      </c>
      <c r="N24">
        <v>385</v>
      </c>
      <c r="O24" s="2">
        <v>0.520009987543399</v>
      </c>
      <c r="P24" s="2">
        <v>0.223303595674162</v>
      </c>
    </row>
    <row r="25" spans="2:16" x14ac:dyDescent="0.3">
      <c r="J25" t="s">
        <v>23</v>
      </c>
      <c r="K25" t="s">
        <v>15</v>
      </c>
      <c r="L25" s="2">
        <v>0.16613798330041499</v>
      </c>
      <c r="M25" s="2">
        <v>3.1793147394727601</v>
      </c>
      <c r="N25">
        <v>287</v>
      </c>
      <c r="O25" s="2">
        <v>1.6995484075405101</v>
      </c>
      <c r="P25" s="2">
        <v>0.177116189718553</v>
      </c>
    </row>
    <row r="26" spans="2:16" x14ac:dyDescent="0.3">
      <c r="J26" t="s">
        <v>23</v>
      </c>
      <c r="K26" t="s">
        <v>16</v>
      </c>
      <c r="L26" s="2">
        <v>0.208764011252563</v>
      </c>
      <c r="M26" s="2">
        <v>1.3627275551310301</v>
      </c>
      <c r="N26">
        <v>383</v>
      </c>
      <c r="O26" s="2">
        <v>0.66187136532843904</v>
      </c>
      <c r="P26" s="2">
        <v>0.18618030297273799</v>
      </c>
    </row>
    <row r="27" spans="2:16" x14ac:dyDescent="0.3">
      <c r="J27" t="s">
        <v>24</v>
      </c>
      <c r="K27" t="s">
        <v>12</v>
      </c>
      <c r="L27" s="2">
        <v>4.5729605461328197E-2</v>
      </c>
      <c r="M27" s="2">
        <v>1.1331711168431899</v>
      </c>
      <c r="N27">
        <v>367</v>
      </c>
      <c r="O27" s="2">
        <v>0.28909836152983198</v>
      </c>
      <c r="P27" s="2">
        <v>0.31651621807694302</v>
      </c>
    </row>
    <row r="28" spans="2:16" x14ac:dyDescent="0.3">
      <c r="J28" t="s">
        <v>24</v>
      </c>
      <c r="K28" t="s">
        <v>15</v>
      </c>
      <c r="L28" s="2">
        <v>9.8456721760735305E-2</v>
      </c>
      <c r="M28" s="2">
        <v>0.97872383351934999</v>
      </c>
      <c r="N28">
        <v>118</v>
      </c>
      <c r="O28" s="2">
        <v>-3.0365584653830598E-2</v>
      </c>
      <c r="P28" s="2">
        <v>0.17306848060300001</v>
      </c>
    </row>
    <row r="29" spans="2:16" x14ac:dyDescent="0.3">
      <c r="J29" t="s">
        <v>24</v>
      </c>
      <c r="K29" t="s">
        <v>16</v>
      </c>
      <c r="L29" s="2">
        <v>4.5379398215467097E-2</v>
      </c>
      <c r="M29" s="2">
        <v>1.37157040140145</v>
      </c>
      <c r="N29">
        <v>391</v>
      </c>
      <c r="O29" s="2">
        <v>0.55664528308761596</v>
      </c>
      <c r="P29" s="2">
        <v>0.270825480832877</v>
      </c>
    </row>
    <row r="30" spans="2:16" x14ac:dyDescent="0.3">
      <c r="J30" t="s">
        <v>25</v>
      </c>
      <c r="K30" t="s">
        <v>12</v>
      </c>
      <c r="L30" s="2">
        <v>8.5770772364279296E-2</v>
      </c>
      <c r="M30" s="2">
        <v>0.87556615519723202</v>
      </c>
      <c r="N30">
        <v>426</v>
      </c>
      <c r="O30" s="2">
        <v>-0.25087709787727702</v>
      </c>
      <c r="P30" s="2">
        <v>0.280255692248772</v>
      </c>
    </row>
    <row r="31" spans="2:16" x14ac:dyDescent="0.3">
      <c r="J31" t="s">
        <v>25</v>
      </c>
      <c r="K31" t="s">
        <v>15</v>
      </c>
      <c r="L31" s="2">
        <v>0.116018114444377</v>
      </c>
      <c r="M31" s="2">
        <v>1.2120076403240101</v>
      </c>
      <c r="N31">
        <v>306</v>
      </c>
      <c r="O31" s="2">
        <v>0.48393785492589297</v>
      </c>
      <c r="P31" s="2">
        <v>0.16960869337745399</v>
      </c>
    </row>
    <row r="32" spans="2:16" x14ac:dyDescent="0.3">
      <c r="J32" t="s">
        <v>25</v>
      </c>
      <c r="K32" t="s">
        <v>16</v>
      </c>
      <c r="L32" s="2">
        <v>5.3757355863663002E-2</v>
      </c>
      <c r="M32" s="2">
        <v>0.90692490186394104</v>
      </c>
      <c r="N32">
        <v>380</v>
      </c>
      <c r="O32" s="2">
        <v>-0.16616552228213899</v>
      </c>
      <c r="P32" s="2">
        <v>0.29692920526619798</v>
      </c>
    </row>
    <row r="33" spans="10:16" x14ac:dyDescent="0.3">
      <c r="J33" t="s">
        <v>26</v>
      </c>
      <c r="K33" t="s">
        <v>12</v>
      </c>
      <c r="L33" s="2">
        <v>9.9316701334936794E-2</v>
      </c>
      <c r="M33" s="2">
        <v>1.27205410591015</v>
      </c>
      <c r="N33">
        <v>414</v>
      </c>
      <c r="O33" s="2">
        <v>0.59955718448777795</v>
      </c>
      <c r="P33" s="2">
        <v>0.22780062781899599</v>
      </c>
    </row>
    <row r="34" spans="10:16" x14ac:dyDescent="0.3">
      <c r="J34" t="s">
        <v>26</v>
      </c>
      <c r="K34" t="s">
        <v>15</v>
      </c>
      <c r="L34" s="2">
        <v>0.110761183504828</v>
      </c>
      <c r="M34" s="2">
        <v>1.0268456652859299</v>
      </c>
      <c r="N34">
        <v>374</v>
      </c>
      <c r="O34" s="2">
        <v>0.13028804925429999</v>
      </c>
      <c r="P34" s="2">
        <v>0.18290865246033899</v>
      </c>
    </row>
    <row r="35" spans="10:16" x14ac:dyDescent="0.3">
      <c r="J35" t="s">
        <v>26</v>
      </c>
      <c r="K35" t="s">
        <v>16</v>
      </c>
      <c r="L35" s="2">
        <v>0.100683630671247</v>
      </c>
      <c r="M35" s="2">
        <v>1.33317523861051</v>
      </c>
      <c r="N35">
        <v>424</v>
      </c>
      <c r="O35" s="2">
        <v>0.68815192871790498</v>
      </c>
      <c r="P35" s="2">
        <v>0.22870131638773999</v>
      </c>
    </row>
    <row r="36" spans="10:16" x14ac:dyDescent="0.3">
      <c r="J36" t="s">
        <v>27</v>
      </c>
      <c r="K36" t="s">
        <v>12</v>
      </c>
      <c r="L36" s="2">
        <v>0.20911322204532801</v>
      </c>
      <c r="M36" s="2">
        <v>1.1857920453606901</v>
      </c>
      <c r="N36">
        <v>389</v>
      </c>
      <c r="O36" s="2">
        <v>0.47404186996749398</v>
      </c>
      <c r="P36" s="2">
        <v>0.146962136075934</v>
      </c>
    </row>
    <row r="37" spans="10:16" x14ac:dyDescent="0.3">
      <c r="J37" t="s">
        <v>27</v>
      </c>
      <c r="K37" t="s">
        <v>15</v>
      </c>
      <c r="L37" s="2">
        <v>0.15125400088798599</v>
      </c>
      <c r="M37" s="2">
        <v>1.4681610086446899</v>
      </c>
      <c r="N37">
        <v>363</v>
      </c>
      <c r="O37" s="2">
        <v>0.90976539903624998</v>
      </c>
      <c r="P37" s="2">
        <v>0.109122085632369</v>
      </c>
    </row>
    <row r="38" spans="10:16" x14ac:dyDescent="0.3">
      <c r="J38" t="s">
        <v>27</v>
      </c>
      <c r="K38" t="s">
        <v>16</v>
      </c>
      <c r="L38" s="2">
        <v>0.122170064332703</v>
      </c>
      <c r="M38" s="2">
        <v>1.1575477802834999</v>
      </c>
      <c r="N38">
        <v>387</v>
      </c>
      <c r="O38" s="2">
        <v>0.42567620937846001</v>
      </c>
      <c r="P38" s="2">
        <v>0.117128462615385</v>
      </c>
    </row>
    <row r="39" spans="10:16" x14ac:dyDescent="0.3">
      <c r="J39" t="s">
        <v>28</v>
      </c>
      <c r="K39" t="s">
        <v>12</v>
      </c>
      <c r="L39" s="2">
        <v>0.13266049027874399</v>
      </c>
      <c r="M39" s="2">
        <v>0.41672129791374901</v>
      </c>
      <c r="N39">
        <v>365</v>
      </c>
      <c r="O39" s="2">
        <v>-0.770023434295524</v>
      </c>
      <c r="P39" s="2">
        <v>0.64916981947318098</v>
      </c>
    </row>
    <row r="40" spans="10:16" x14ac:dyDescent="0.3">
      <c r="J40" t="s">
        <v>28</v>
      </c>
      <c r="K40" t="s">
        <v>15</v>
      </c>
      <c r="L40" s="2">
        <v>0.16287399670702701</v>
      </c>
      <c r="M40" s="2">
        <v>0.72590290503957</v>
      </c>
      <c r="N40">
        <v>181</v>
      </c>
      <c r="O40" s="2">
        <v>-0.12938194677180301</v>
      </c>
      <c r="P40" s="2">
        <v>0.52021962372209696</v>
      </c>
    </row>
    <row r="41" spans="10:16" x14ac:dyDescent="0.3">
      <c r="J41" t="s">
        <v>28</v>
      </c>
      <c r="K41" t="s">
        <v>16</v>
      </c>
      <c r="L41" s="2">
        <v>0.12103094533809899</v>
      </c>
      <c r="M41" s="2">
        <v>0.445255021068243</v>
      </c>
      <c r="N41">
        <v>357</v>
      </c>
      <c r="O41" s="2">
        <v>-0.67651898762955098</v>
      </c>
      <c r="P41" s="2">
        <v>0.64082391008004702</v>
      </c>
    </row>
    <row r="42" spans="10:16" x14ac:dyDescent="0.3">
      <c r="J42" t="s">
        <v>29</v>
      </c>
      <c r="K42" t="s">
        <v>12</v>
      </c>
      <c r="L42" s="2">
        <v>0.116956091724831</v>
      </c>
      <c r="M42" s="2">
        <v>0.81276604747505399</v>
      </c>
      <c r="N42">
        <v>272</v>
      </c>
      <c r="O42" s="2">
        <v>8.9450077487370698E-4</v>
      </c>
      <c r="P42" s="2">
        <v>0.62609460899173497</v>
      </c>
    </row>
    <row r="43" spans="10:16" x14ac:dyDescent="0.3">
      <c r="J43" t="s">
        <v>29</v>
      </c>
      <c r="K43" t="s">
        <v>15</v>
      </c>
      <c r="L43" s="2">
        <v>0.13534284913901401</v>
      </c>
      <c r="M43" s="2">
        <v>0.72487139420693603</v>
      </c>
      <c r="N43">
        <v>365</v>
      </c>
      <c r="O43" s="2">
        <v>-0.21826238341943799</v>
      </c>
      <c r="P43" s="2">
        <v>0.45797567393534699</v>
      </c>
    </row>
    <row r="44" spans="10:16" x14ac:dyDescent="0.3">
      <c r="J44" t="s">
        <v>29</v>
      </c>
      <c r="K44" t="s">
        <v>16</v>
      </c>
      <c r="L44" s="2">
        <v>2.0622542774752901E-2</v>
      </c>
      <c r="M44" s="2">
        <v>0.78420153020499195</v>
      </c>
      <c r="N44">
        <v>292</v>
      </c>
      <c r="O44" s="2">
        <v>-3.85261020853358E-2</v>
      </c>
      <c r="P44" s="2">
        <v>0.56632151044914902</v>
      </c>
    </row>
    <row r="45" spans="10:16" x14ac:dyDescent="0.3">
      <c r="J45" t="s">
        <v>30</v>
      </c>
      <c r="K45" t="s">
        <v>12</v>
      </c>
      <c r="L45" s="2">
        <v>9.7612462334898398E-2</v>
      </c>
      <c r="M45" s="2">
        <v>1.35775832098692</v>
      </c>
      <c r="N45">
        <v>335</v>
      </c>
      <c r="O45" s="2">
        <v>0.48149009164690898</v>
      </c>
      <c r="P45" s="2">
        <v>0.32390099256833499</v>
      </c>
    </row>
    <row r="46" spans="10:16" x14ac:dyDescent="0.3">
      <c r="J46" t="s">
        <v>30</v>
      </c>
      <c r="K46" t="s">
        <v>15</v>
      </c>
      <c r="L46" s="2">
        <v>4.9134627613402301E-2</v>
      </c>
      <c r="M46" s="2">
        <v>1.07540710129666</v>
      </c>
      <c r="N46">
        <v>281</v>
      </c>
      <c r="O46" s="2">
        <v>0.216281913141677</v>
      </c>
      <c r="P46" s="2">
        <v>0.292547120236408</v>
      </c>
    </row>
    <row r="47" spans="10:16" x14ac:dyDescent="0.3">
      <c r="J47" t="s">
        <v>30</v>
      </c>
      <c r="K47" t="s">
        <v>16</v>
      </c>
      <c r="L47" s="2">
        <v>0.139946447549154</v>
      </c>
      <c r="M47" s="2">
        <v>1.15600462927049</v>
      </c>
      <c r="N47">
        <v>427</v>
      </c>
      <c r="O47" s="2">
        <v>0.305035287993283</v>
      </c>
      <c r="P47" s="2">
        <v>0.26345118372115001</v>
      </c>
    </row>
    <row r="48" spans="10:16" x14ac:dyDescent="0.3">
      <c r="J48" t="s">
        <v>31</v>
      </c>
      <c r="K48" t="s">
        <v>12</v>
      </c>
      <c r="L48" s="2">
        <v>0.16873194939816399</v>
      </c>
      <c r="M48" s="2">
        <v>1.43526541280381</v>
      </c>
      <c r="N48">
        <v>380</v>
      </c>
      <c r="O48" s="2">
        <v>0.93229285810740004</v>
      </c>
      <c r="P48" s="2">
        <v>0.13540346681291801</v>
      </c>
    </row>
    <row r="49" spans="10:16" x14ac:dyDescent="0.3">
      <c r="J49" t="s">
        <v>31</v>
      </c>
      <c r="K49" t="s">
        <v>15</v>
      </c>
      <c r="L49" s="2">
        <v>0.115329743915539</v>
      </c>
      <c r="M49" s="2">
        <v>1.34183813875165</v>
      </c>
      <c r="N49">
        <v>356</v>
      </c>
      <c r="O49" s="2">
        <v>0.84292531200203802</v>
      </c>
      <c r="P49" s="2">
        <v>0.127390778555828</v>
      </c>
    </row>
    <row r="50" spans="10:16" x14ac:dyDescent="0.3">
      <c r="J50" t="s">
        <v>31</v>
      </c>
      <c r="K50" t="s">
        <v>16</v>
      </c>
      <c r="L50" s="2">
        <v>0.165444026636309</v>
      </c>
      <c r="M50" s="2">
        <v>1.23853755618253</v>
      </c>
      <c r="N50">
        <v>372</v>
      </c>
      <c r="O50" s="2">
        <v>0.58354207901157695</v>
      </c>
      <c r="P50" s="2">
        <v>0.13770863278314699</v>
      </c>
    </row>
    <row r="51" spans="10:16" x14ac:dyDescent="0.3">
      <c r="J51" t="s">
        <v>32</v>
      </c>
      <c r="K51" t="s">
        <v>12</v>
      </c>
      <c r="L51" s="2">
        <v>0.15327590147613401</v>
      </c>
      <c r="M51" s="2">
        <v>1.2016279771984599</v>
      </c>
      <c r="N51">
        <v>439</v>
      </c>
      <c r="O51" s="2">
        <v>0.42914661701653301</v>
      </c>
      <c r="P51" s="2">
        <v>0.199886058633132</v>
      </c>
    </row>
    <row r="52" spans="10:16" x14ac:dyDescent="0.3">
      <c r="J52" t="s">
        <v>32</v>
      </c>
      <c r="K52" t="s">
        <v>15</v>
      </c>
      <c r="L52" s="2">
        <v>0.27987530963716301</v>
      </c>
      <c r="M52" s="2">
        <v>1.375195576808</v>
      </c>
      <c r="N52">
        <v>391</v>
      </c>
      <c r="O52" s="2">
        <v>0.70585099093812498</v>
      </c>
      <c r="P52" s="2">
        <v>0.14610625339789499</v>
      </c>
    </row>
    <row r="53" spans="10:16" x14ac:dyDescent="0.3">
      <c r="J53" t="s">
        <v>32</v>
      </c>
      <c r="K53" t="s">
        <v>16</v>
      </c>
      <c r="L53" s="2">
        <v>0.20636161103122899</v>
      </c>
      <c r="M53" s="2">
        <v>1.1247562447819599</v>
      </c>
      <c r="N53">
        <v>423</v>
      </c>
      <c r="O53" s="2">
        <v>0.31604935208295898</v>
      </c>
      <c r="P53" s="2">
        <v>0.21709316432690601</v>
      </c>
    </row>
    <row r="54" spans="10:16" x14ac:dyDescent="0.3">
      <c r="J54" t="s">
        <v>33</v>
      </c>
      <c r="K54" t="s">
        <v>12</v>
      </c>
      <c r="L54" s="2">
        <v>4.6605571392333699E-2</v>
      </c>
      <c r="M54" s="2">
        <v>1.0518766468527501</v>
      </c>
      <c r="N54">
        <v>334</v>
      </c>
      <c r="O54" s="2">
        <v>0.18069602175892399</v>
      </c>
      <c r="P54" s="2">
        <v>0.31948394826545001</v>
      </c>
    </row>
    <row r="55" spans="10:16" x14ac:dyDescent="0.3">
      <c r="J55" t="s">
        <v>33</v>
      </c>
      <c r="K55" t="s">
        <v>15</v>
      </c>
      <c r="L55" s="2">
        <v>0.193515521898109</v>
      </c>
      <c r="M55" s="2">
        <v>1.6396157302099901</v>
      </c>
      <c r="N55">
        <v>363</v>
      </c>
      <c r="O55" s="2">
        <v>0.81013505773153005</v>
      </c>
      <c r="P55" s="2">
        <v>0.307826449413244</v>
      </c>
    </row>
    <row r="56" spans="10:16" x14ac:dyDescent="0.3">
      <c r="J56" t="s">
        <v>33</v>
      </c>
      <c r="K56" t="s">
        <v>16</v>
      </c>
      <c r="L56" s="2">
        <v>3.9044140882677401E-2</v>
      </c>
      <c r="M56" s="2">
        <v>1.06310829355501</v>
      </c>
      <c r="N56">
        <v>324</v>
      </c>
      <c r="O56" s="2">
        <v>0.198610097396649</v>
      </c>
      <c r="P56" s="2">
        <v>0.32526492147821501</v>
      </c>
    </row>
    <row r="57" spans="10:16" x14ac:dyDescent="0.3">
      <c r="J57" t="s">
        <v>34</v>
      </c>
      <c r="K57" t="s">
        <v>12</v>
      </c>
      <c r="L57" s="2">
        <v>8.8593549877104202E-2</v>
      </c>
      <c r="M57" s="2">
        <v>1.02392952273893</v>
      </c>
      <c r="N57">
        <v>427</v>
      </c>
      <c r="O57" s="2">
        <v>0.13882498361530399</v>
      </c>
      <c r="P57" s="2">
        <v>0.29764981815698099</v>
      </c>
    </row>
    <row r="58" spans="10:16" x14ac:dyDescent="0.3">
      <c r="J58" t="s">
        <v>34</v>
      </c>
      <c r="K58" t="s">
        <v>15</v>
      </c>
      <c r="L58" s="2">
        <v>0.140730486376277</v>
      </c>
      <c r="M58" s="2">
        <v>1.2210772785959401</v>
      </c>
      <c r="N58">
        <v>349</v>
      </c>
      <c r="O58" s="2">
        <v>0.39443523549461201</v>
      </c>
      <c r="P58" s="2">
        <v>0.27439724875001298</v>
      </c>
    </row>
    <row r="59" spans="10:16" x14ac:dyDescent="0.3">
      <c r="J59" t="s">
        <v>34</v>
      </c>
      <c r="K59" t="s">
        <v>16</v>
      </c>
      <c r="L59" s="2">
        <v>8.6530297071476095E-2</v>
      </c>
      <c r="M59" s="2">
        <v>1.15150593139359</v>
      </c>
      <c r="N59">
        <v>449</v>
      </c>
      <c r="O59" s="2">
        <v>0.32032056477039</v>
      </c>
      <c r="P59" s="2">
        <v>0.30618838765168799</v>
      </c>
    </row>
    <row r="60" spans="10:16" x14ac:dyDescent="0.3">
      <c r="J60" t="s">
        <v>35</v>
      </c>
      <c r="K60" t="s">
        <v>12</v>
      </c>
      <c r="L60" s="2">
        <v>5.4839599639896597E-2</v>
      </c>
      <c r="M60" s="2">
        <v>1.04542674821412</v>
      </c>
      <c r="N60">
        <v>292</v>
      </c>
      <c r="O60" s="2">
        <v>0.19021010922405501</v>
      </c>
      <c r="P60" s="2">
        <v>0.15155504067366299</v>
      </c>
    </row>
    <row r="61" spans="10:16" x14ac:dyDescent="0.3">
      <c r="J61" t="s">
        <v>35</v>
      </c>
      <c r="K61" t="s">
        <v>15</v>
      </c>
      <c r="L61" s="2">
        <v>5.93027917711135E-2</v>
      </c>
      <c r="M61" s="2">
        <v>0.95812922614204898</v>
      </c>
      <c r="N61">
        <v>60</v>
      </c>
      <c r="O61" s="2">
        <v>-0.32951038938202898</v>
      </c>
      <c r="P61" s="2">
        <v>8.2809750703517704E-2</v>
      </c>
    </row>
    <row r="62" spans="10:16" x14ac:dyDescent="0.3">
      <c r="J62" t="s">
        <v>35</v>
      </c>
      <c r="K62" t="s">
        <v>16</v>
      </c>
      <c r="L62" s="2">
        <v>3.2555954852156198E-2</v>
      </c>
      <c r="M62" s="2">
        <v>1.1783855097131399</v>
      </c>
      <c r="N62">
        <v>309</v>
      </c>
      <c r="O62" s="2">
        <v>0.55548714614346695</v>
      </c>
      <c r="P62" s="2">
        <v>9.0517480211927501E-2</v>
      </c>
    </row>
    <row r="63" spans="10:16" x14ac:dyDescent="0.3">
      <c r="J63" t="s">
        <v>36</v>
      </c>
      <c r="K63" t="s">
        <v>12</v>
      </c>
      <c r="L63" s="2">
        <v>0.107339399564597</v>
      </c>
      <c r="M63" s="2">
        <v>1.4961183690662101</v>
      </c>
      <c r="N63">
        <v>437</v>
      </c>
      <c r="O63" s="2">
        <v>0.92012221581364095</v>
      </c>
      <c r="P63" s="2">
        <v>0.162190684062862</v>
      </c>
    </row>
    <row r="64" spans="10:16" x14ac:dyDescent="0.3">
      <c r="J64" t="s">
        <v>36</v>
      </c>
      <c r="K64" t="s">
        <v>15</v>
      </c>
      <c r="L64" s="2">
        <v>0.16358158159290401</v>
      </c>
      <c r="M64" s="2">
        <v>1.54433544748934</v>
      </c>
      <c r="N64">
        <v>345</v>
      </c>
      <c r="O64" s="2">
        <v>0.91594411106571405</v>
      </c>
      <c r="P64" s="2">
        <v>0.18740627070739699</v>
      </c>
    </row>
    <row r="65" spans="10:16" x14ac:dyDescent="0.3">
      <c r="J65" t="s">
        <v>36</v>
      </c>
      <c r="K65" t="s">
        <v>16</v>
      </c>
      <c r="L65" s="2">
        <v>5.5951661408216898E-2</v>
      </c>
      <c r="M65" s="2">
        <v>1.08451318648246</v>
      </c>
      <c r="N65">
        <v>377</v>
      </c>
      <c r="O65" s="2">
        <v>0.25831030275251798</v>
      </c>
      <c r="P65" s="2">
        <v>0.17293237442892601</v>
      </c>
    </row>
    <row r="66" spans="10:16" x14ac:dyDescent="0.3">
      <c r="J66" t="s">
        <v>37</v>
      </c>
      <c r="K66" t="s">
        <v>12</v>
      </c>
      <c r="L66" s="2">
        <v>9.0037633362684194E-2</v>
      </c>
      <c r="M66" s="2">
        <v>1.0201123847623199</v>
      </c>
      <c r="N66">
        <v>335</v>
      </c>
      <c r="O66" s="2">
        <v>0.133819810087978</v>
      </c>
      <c r="P66" s="2">
        <v>0.20801027913321901</v>
      </c>
    </row>
    <row r="67" spans="10:16" x14ac:dyDescent="0.3">
      <c r="J67" t="s">
        <v>37</v>
      </c>
      <c r="K67" t="s">
        <v>15</v>
      </c>
      <c r="L67" s="2">
        <v>3.27254354035958E-2</v>
      </c>
      <c r="M67" s="2">
        <v>1.0864381754261201</v>
      </c>
      <c r="N67">
        <v>327</v>
      </c>
      <c r="O67" s="2">
        <v>0.24249942665282201</v>
      </c>
      <c r="P67" s="2">
        <v>0.24532451252729301</v>
      </c>
    </row>
    <row r="68" spans="10:16" x14ac:dyDescent="0.3">
      <c r="J68" t="s">
        <v>37</v>
      </c>
      <c r="K68" t="s">
        <v>16</v>
      </c>
      <c r="L68" s="2">
        <v>9.5545800101572501E-2</v>
      </c>
      <c r="M68" s="2">
        <v>1.07465474373003</v>
      </c>
      <c r="N68">
        <v>357</v>
      </c>
      <c r="O68" s="2">
        <v>0.214536399900358</v>
      </c>
      <c r="P68" s="2">
        <v>0.225032549371915</v>
      </c>
    </row>
    <row r="69" spans="10:16" x14ac:dyDescent="0.3">
      <c r="J69" t="s">
        <v>38</v>
      </c>
      <c r="K69" t="s">
        <v>12</v>
      </c>
      <c r="L69" s="2">
        <v>9.4271664563254698E-2</v>
      </c>
      <c r="M69" s="2">
        <v>0.939359312125707</v>
      </c>
      <c r="N69">
        <v>354</v>
      </c>
      <c r="O69" s="2">
        <v>-2.88960983223766E-2</v>
      </c>
      <c r="P69" s="2">
        <v>0.32837068974878098</v>
      </c>
    </row>
    <row r="70" spans="10:16" x14ac:dyDescent="0.3">
      <c r="J70" t="s">
        <v>38</v>
      </c>
      <c r="K70" t="s">
        <v>15</v>
      </c>
      <c r="L70" s="2">
        <v>0.122450900681011</v>
      </c>
      <c r="M70" s="2">
        <v>1.0204647319792</v>
      </c>
      <c r="N70">
        <v>323</v>
      </c>
      <c r="O70" s="2">
        <v>0.136075608719363</v>
      </c>
      <c r="P70" s="2">
        <v>0.389441021033962</v>
      </c>
    </row>
    <row r="71" spans="10:16" x14ac:dyDescent="0.3">
      <c r="J71" t="s">
        <v>38</v>
      </c>
      <c r="K71" t="s">
        <v>16</v>
      </c>
      <c r="L71" s="2">
        <v>8.5048808463295697E-2</v>
      </c>
      <c r="M71" s="2">
        <v>0.77951726770799201</v>
      </c>
      <c r="N71">
        <v>344</v>
      </c>
      <c r="O71" s="2">
        <v>-0.35025704524531298</v>
      </c>
      <c r="P71" s="2">
        <v>0.28850127421164201</v>
      </c>
    </row>
    <row r="72" spans="10:16" x14ac:dyDescent="0.3">
      <c r="J72" t="s">
        <v>39</v>
      </c>
      <c r="K72" t="s">
        <v>12</v>
      </c>
      <c r="L72" s="2">
        <v>0.166132785917327</v>
      </c>
      <c r="M72" s="2">
        <v>1.3146359473834699</v>
      </c>
      <c r="N72">
        <v>335</v>
      </c>
      <c r="O72" s="2">
        <v>0.72605012310412897</v>
      </c>
      <c r="P72" s="2">
        <v>0.180290849413791</v>
      </c>
    </row>
    <row r="73" spans="10:16" x14ac:dyDescent="0.3">
      <c r="J73" t="s">
        <v>39</v>
      </c>
      <c r="K73" t="s">
        <v>15</v>
      </c>
      <c r="L73" s="2">
        <v>0.14165584317885099</v>
      </c>
      <c r="M73" s="2">
        <v>1.27998952847063</v>
      </c>
      <c r="N73">
        <v>217</v>
      </c>
      <c r="O73" s="2">
        <v>0.88651994016828495</v>
      </c>
      <c r="P73" s="2">
        <v>8.4608922988175406E-2</v>
      </c>
    </row>
    <row r="74" spans="10:16" x14ac:dyDescent="0.3">
      <c r="J74" t="s">
        <v>39</v>
      </c>
      <c r="K74" t="s">
        <v>16</v>
      </c>
      <c r="L74" s="2">
        <v>4.9917976385949102E-2</v>
      </c>
      <c r="M74" s="2">
        <v>1.5603903018745999</v>
      </c>
      <c r="N74">
        <v>349</v>
      </c>
      <c r="O74" s="2">
        <v>1.14020895339769</v>
      </c>
      <c r="P74" s="2">
        <v>0.147499068931429</v>
      </c>
    </row>
    <row r="75" spans="10:16" x14ac:dyDescent="0.3">
      <c r="J75" t="s">
        <v>40</v>
      </c>
      <c r="K75" t="s">
        <v>12</v>
      </c>
      <c r="L75" s="2">
        <v>2.7349616508763101E-2</v>
      </c>
      <c r="M75" s="2">
        <v>0.87193711502008897</v>
      </c>
      <c r="N75">
        <v>400</v>
      </c>
      <c r="O75" s="2">
        <v>-0.28708105656704902</v>
      </c>
      <c r="P75" s="2">
        <v>0.24902847863114</v>
      </c>
    </row>
    <row r="76" spans="10:16" x14ac:dyDescent="0.3">
      <c r="J76" t="s">
        <v>40</v>
      </c>
      <c r="K76" t="s">
        <v>15</v>
      </c>
      <c r="L76" s="2">
        <v>9.5190896257882907E-2</v>
      </c>
      <c r="M76" s="2">
        <v>0.91459474375156102</v>
      </c>
      <c r="N76">
        <v>352</v>
      </c>
      <c r="O76" s="2">
        <v>-0.18709662950672101</v>
      </c>
      <c r="P76" s="2">
        <v>0.236189189829492</v>
      </c>
    </row>
    <row r="77" spans="10:16" x14ac:dyDescent="0.3">
      <c r="J77" t="s">
        <v>40</v>
      </c>
      <c r="K77" t="s">
        <v>16</v>
      </c>
      <c r="L77" s="2">
        <v>4.3568871290375601E-2</v>
      </c>
      <c r="M77" s="2">
        <v>0.88483255129003502</v>
      </c>
      <c r="N77">
        <v>358</v>
      </c>
      <c r="O77" s="2">
        <v>-0.19897154044932999</v>
      </c>
      <c r="P77" s="2">
        <v>0.33480129901501599</v>
      </c>
    </row>
    <row r="78" spans="10:16" x14ac:dyDescent="0.3">
      <c r="J78" t="s">
        <v>41</v>
      </c>
      <c r="K78" t="s">
        <v>12</v>
      </c>
      <c r="L78" s="2">
        <v>8.8893317925554202E-2</v>
      </c>
      <c r="M78" s="2">
        <v>0.78850684852433595</v>
      </c>
      <c r="N78">
        <v>473</v>
      </c>
      <c r="O78" s="2">
        <v>-0.30535433291783998</v>
      </c>
      <c r="P78" s="2">
        <v>0.33539761531482098</v>
      </c>
    </row>
    <row r="79" spans="10:16" x14ac:dyDescent="0.3">
      <c r="J79" t="s">
        <v>41</v>
      </c>
      <c r="K79" t="s">
        <v>15</v>
      </c>
      <c r="L79" s="2">
        <v>0.17640690393397199</v>
      </c>
      <c r="M79" s="2">
        <v>1.23300991156552</v>
      </c>
      <c r="N79">
        <v>377</v>
      </c>
      <c r="O79" s="2">
        <v>0.43361904977392501</v>
      </c>
      <c r="P79" s="2">
        <v>0.212333384753324</v>
      </c>
    </row>
    <row r="80" spans="10:16" x14ac:dyDescent="0.3">
      <c r="J80" t="s">
        <v>41</v>
      </c>
      <c r="K80" t="s">
        <v>16</v>
      </c>
      <c r="L80" s="2">
        <v>8.6294876763085102E-2</v>
      </c>
      <c r="M80" s="2">
        <v>0.65339583065304396</v>
      </c>
      <c r="N80">
        <v>465</v>
      </c>
      <c r="O80" s="2">
        <v>-0.59933166281184003</v>
      </c>
      <c r="P80" s="2">
        <v>0.43995726551949599</v>
      </c>
    </row>
    <row r="81" spans="10:16" x14ac:dyDescent="0.3">
      <c r="J81" t="s">
        <v>42</v>
      </c>
      <c r="K81" t="s">
        <v>12</v>
      </c>
      <c r="L81" s="2">
        <v>9.8009946906837994E-2</v>
      </c>
      <c r="M81" s="2">
        <v>0.50232701893959397</v>
      </c>
      <c r="N81">
        <v>311</v>
      </c>
      <c r="O81" s="2">
        <v>-1.05530916584889</v>
      </c>
      <c r="P81" s="2">
        <v>0.51883210121809498</v>
      </c>
    </row>
    <row r="82" spans="10:16" x14ac:dyDescent="0.3">
      <c r="J82" t="s">
        <v>42</v>
      </c>
      <c r="K82" t="s">
        <v>15</v>
      </c>
      <c r="L82" s="2">
        <v>-1.6091972409952401E-2</v>
      </c>
      <c r="M82" s="2">
        <v>0.42254236320538102</v>
      </c>
      <c r="N82">
        <v>181</v>
      </c>
      <c r="O82" s="2">
        <v>-0.81441626827325297</v>
      </c>
      <c r="P82" s="2">
        <v>0.59973043637457402</v>
      </c>
    </row>
    <row r="83" spans="10:16" x14ac:dyDescent="0.3">
      <c r="J83" t="s">
        <v>42</v>
      </c>
      <c r="K83" t="s">
        <v>16</v>
      </c>
      <c r="L83" s="2">
        <v>9.2738435444331496E-2</v>
      </c>
      <c r="M83" s="2">
        <v>0.42664722277522799</v>
      </c>
      <c r="N83">
        <v>335</v>
      </c>
      <c r="O83" s="2">
        <v>-1.19375395471941</v>
      </c>
      <c r="P83" s="2">
        <v>0.59806789668970095</v>
      </c>
    </row>
    <row r="84" spans="10:16" x14ac:dyDescent="0.3">
      <c r="J84" t="s">
        <v>43</v>
      </c>
      <c r="K84" t="s">
        <v>12</v>
      </c>
      <c r="L84" s="2">
        <v>9.0465649254023506E-2</v>
      </c>
      <c r="M84" s="2">
        <v>1.1960843072173999</v>
      </c>
      <c r="N84">
        <v>337</v>
      </c>
      <c r="O84" s="2">
        <v>0.42107631969416798</v>
      </c>
      <c r="P84" s="2">
        <v>0.26696985252716499</v>
      </c>
    </row>
    <row r="85" spans="10:16" x14ac:dyDescent="0.3">
      <c r="J85" t="s">
        <v>43</v>
      </c>
      <c r="K85" t="s">
        <v>15</v>
      </c>
      <c r="L85" s="2">
        <v>7.7559151930938403E-2</v>
      </c>
      <c r="M85" s="2">
        <v>1.3479537212974499</v>
      </c>
      <c r="N85">
        <v>145</v>
      </c>
      <c r="O85" s="2">
        <v>0.55153653517723999</v>
      </c>
      <c r="P85" s="2">
        <v>0.21278026805152001</v>
      </c>
    </row>
    <row r="86" spans="10:16" x14ac:dyDescent="0.3">
      <c r="J86" t="s">
        <v>43</v>
      </c>
      <c r="K86" t="s">
        <v>16</v>
      </c>
      <c r="L86" s="2">
        <v>7.5443872723027994E-2</v>
      </c>
      <c r="M86" s="2">
        <v>1.4104508597754499</v>
      </c>
      <c r="N86">
        <v>379</v>
      </c>
      <c r="O86" s="2">
        <v>0.72172293865767401</v>
      </c>
      <c r="P86" s="2">
        <v>0.287392920454829</v>
      </c>
    </row>
    <row r="87" spans="10:16" x14ac:dyDescent="0.3">
      <c r="J87" t="s">
        <v>44</v>
      </c>
      <c r="K87" t="s">
        <v>12</v>
      </c>
      <c r="L87" s="2">
        <v>7.9253542937640198E-2</v>
      </c>
      <c r="M87" s="2">
        <v>1.32431866944031</v>
      </c>
      <c r="N87">
        <v>403</v>
      </c>
      <c r="O87" s="2">
        <v>0.53718826712807199</v>
      </c>
      <c r="P87" s="2">
        <v>0.28090916402500499</v>
      </c>
    </row>
    <row r="88" spans="10:16" x14ac:dyDescent="0.3">
      <c r="J88" t="s">
        <v>44</v>
      </c>
      <c r="K88" t="s">
        <v>15</v>
      </c>
      <c r="L88" s="2">
        <v>0.12787391108148</v>
      </c>
      <c r="M88" s="2">
        <v>1.20153073868231</v>
      </c>
      <c r="N88">
        <v>359</v>
      </c>
      <c r="O88" s="2">
        <v>0.41693424744534102</v>
      </c>
      <c r="P88" s="2">
        <v>0.163269573895194</v>
      </c>
    </row>
    <row r="89" spans="10:16" x14ac:dyDescent="0.3">
      <c r="J89" t="s">
        <v>44</v>
      </c>
      <c r="K89" t="s">
        <v>16</v>
      </c>
      <c r="L89" s="2">
        <v>8.5839447847029002E-2</v>
      </c>
      <c r="M89" s="2">
        <v>1.66400667789245</v>
      </c>
      <c r="N89">
        <v>431</v>
      </c>
      <c r="O89" s="2">
        <v>0.90034417980319204</v>
      </c>
      <c r="P89" s="2">
        <v>0.25174787729526299</v>
      </c>
    </row>
    <row r="90" spans="10:16" x14ac:dyDescent="0.3">
      <c r="J90" t="s">
        <v>45</v>
      </c>
      <c r="K90" t="s">
        <v>12</v>
      </c>
      <c r="L90" s="2">
        <v>5.4111720089483797E-2</v>
      </c>
      <c r="M90" s="2">
        <v>0.47281744226733902</v>
      </c>
      <c r="N90">
        <v>291</v>
      </c>
      <c r="O90" s="2">
        <v>-0.78818545260601303</v>
      </c>
      <c r="P90" s="2">
        <v>0.58199486730086103</v>
      </c>
    </row>
    <row r="91" spans="10:16" x14ac:dyDescent="0.3">
      <c r="J91" t="s">
        <v>45</v>
      </c>
      <c r="K91" t="s">
        <v>15</v>
      </c>
      <c r="L91" s="2">
        <v>7.07615193071892E-2</v>
      </c>
      <c r="M91" s="2">
        <v>0.49378365601964502</v>
      </c>
      <c r="N91">
        <v>365</v>
      </c>
      <c r="O91" s="2">
        <v>-0.59661790718725005</v>
      </c>
      <c r="P91" s="2">
        <v>0.58089095590496098</v>
      </c>
    </row>
    <row r="92" spans="10:16" x14ac:dyDescent="0.3">
      <c r="J92" t="s">
        <v>45</v>
      </c>
      <c r="K92" t="s">
        <v>16</v>
      </c>
      <c r="L92" s="2">
        <v>4.6008774456765197E-2</v>
      </c>
      <c r="M92" s="2">
        <v>0.32592791617739902</v>
      </c>
      <c r="N92">
        <v>293</v>
      </c>
      <c r="O92" s="2">
        <v>-1.04795794649302</v>
      </c>
      <c r="P92" s="2">
        <v>0.71291074315436898</v>
      </c>
    </row>
    <row r="93" spans="10:16" x14ac:dyDescent="0.3">
      <c r="J93" t="s">
        <v>46</v>
      </c>
      <c r="K93" t="s">
        <v>12</v>
      </c>
      <c r="L93" s="2">
        <v>9.5541349239110993E-3</v>
      </c>
      <c r="M93" s="2">
        <v>1.0434748902251201</v>
      </c>
      <c r="N93">
        <v>317</v>
      </c>
      <c r="O93" s="2">
        <v>0.17350510254531201</v>
      </c>
      <c r="P93" s="2">
        <v>0.157926707826438</v>
      </c>
    </row>
    <row r="94" spans="10:16" x14ac:dyDescent="0.3">
      <c r="J94" t="s">
        <v>46</v>
      </c>
      <c r="K94" t="s">
        <v>15</v>
      </c>
      <c r="L94" s="2">
        <v>3.2872063880269697E-2</v>
      </c>
      <c r="M94" s="2">
        <v>1.01322768218987</v>
      </c>
      <c r="N94">
        <v>148</v>
      </c>
      <c r="O94" s="2">
        <v>9.7989235097594496E-2</v>
      </c>
      <c r="P94" s="2">
        <v>0.10146121936345701</v>
      </c>
    </row>
    <row r="95" spans="10:16" x14ac:dyDescent="0.3">
      <c r="J95" t="s">
        <v>46</v>
      </c>
      <c r="K95" t="s">
        <v>16</v>
      </c>
      <c r="L95" s="2">
        <v>0.108897390750025</v>
      </c>
      <c r="M95" s="2">
        <v>0.92377313013005602</v>
      </c>
      <c r="N95">
        <v>331</v>
      </c>
      <c r="O95" s="2">
        <v>-0.13888745151910101</v>
      </c>
      <c r="P95" s="2">
        <v>0.223108579329162</v>
      </c>
    </row>
  </sheetData>
  <mergeCells count="5">
    <mergeCell ref="B1:H1"/>
    <mergeCell ref="J1:P1"/>
    <mergeCell ref="R1:S1"/>
    <mergeCell ref="U1:Z1"/>
    <mergeCell ref="AB1:A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resultados_evaluacion_modelos</vt:lpstr>
      <vt:lpstr>Análisis</vt:lpstr>
      <vt:lpstr>Tablas_TFM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Torre Rivas</cp:lastModifiedBy>
  <dcterms:created xsi:type="dcterms:W3CDTF">2025-09-04T18:30:03Z</dcterms:created>
  <dcterms:modified xsi:type="dcterms:W3CDTF">2025-09-06T13:27:57Z</dcterms:modified>
</cp:coreProperties>
</file>